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rhebung Biomasse" sheetId="1" state="visible" r:id="rId3"/>
    <sheet name="Bedarfe" sheetId="2" state="visible" r:id="rId4"/>
    <sheet name="Legende" sheetId="3" state="visible" r:id="rId5"/>
    <sheet name="Testfälle (nicht importieren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<sst xmlns="http://schemas.openxmlformats.org/spreadsheetml/2006/main" count="555" uniqueCount="342">
  <si>
    <t xml:space="preserve">Biomasse-Erhebung Rhein-Neckar / Kraichgau</t>
  </si>
  <si>
    <t xml:space="preserve">Stand: September 2026 – interne Arbeitsliste (TESTDATEN, alle Betriebe und Personen fiktiv)</t>
  </si>
  <si>
    <t xml:space="preserve">Nr</t>
  </si>
  <si>
    <t xml:space="preserve">Betrieb / Firma</t>
  </si>
  <si>
    <t xml:space="preserve">Straße</t>
  </si>
  <si>
    <t xml:space="preserve">Hausnr.</t>
  </si>
  <si>
    <t xml:space="preserve">PLZ</t>
  </si>
  <si>
    <t xml:space="preserve">Ort</t>
  </si>
  <si>
    <t xml:space="preserve">Branche</t>
  </si>
  <si>
    <t xml:space="preserve">Material</t>
  </si>
  <si>
    <t xml:space="preserve">Menge</t>
  </si>
  <si>
    <t xml:space="preserve">Einheit</t>
  </si>
  <si>
    <t xml:space="preserve">verfügbar ab</t>
  </si>
  <si>
    <t xml:space="preserve">verfügbar bis</t>
  </si>
  <si>
    <t xml:space="preserve">Preis €/t</t>
  </si>
  <si>
    <t xml:space="preserve">Quelle</t>
  </si>
  <si>
    <t xml:space="preserve">Stand</t>
  </si>
  <si>
    <t xml:space="preserve">gültig bis</t>
  </si>
  <si>
    <t xml:space="preserve">Ansprechpartner</t>
  </si>
  <si>
    <t xml:space="preserve">Telefon</t>
  </si>
  <si>
    <t xml:space="preserve">E-Mail</t>
  </si>
  <si>
    <t xml:space="preserve">Bemerkung</t>
  </si>
  <si>
    <t xml:space="preserve">Agrarhof Lindenau GbR</t>
  </si>
  <si>
    <t xml:space="preserve">Hauptstraße</t>
  </si>
  <si>
    <t xml:space="preserve">12</t>
  </si>
  <si>
    <t xml:space="preserve">74889</t>
  </si>
  <si>
    <t xml:space="preserve">Sinsheim</t>
  </si>
  <si>
    <t xml:space="preserve">Landwirtschaft</t>
  </si>
  <si>
    <t xml:space="preserve">Rindergülle</t>
  </si>
  <si>
    <t xml:space="preserve">t/a</t>
  </si>
  <si>
    <t xml:space="preserve">Gespräch</t>
  </si>
  <si>
    <t xml:space="preserve">Biogas Kraichgau GmbH &amp; Co. KG</t>
  </si>
  <si>
    <t xml:space="preserve">Industriestraße</t>
  </si>
  <si>
    <t xml:space="preserve">5</t>
  </si>
  <si>
    <t xml:space="preserve">75015</t>
  </si>
  <si>
    <t xml:space="preserve">Bretten</t>
  </si>
  <si>
    <t xml:space="preserve">Energie</t>
  </si>
  <si>
    <t xml:space="preserve">Maissilage</t>
  </si>
  <si>
    <t xml:space="preserve">t</t>
  </si>
  <si>
    <t xml:space="preserve">Biogas Kraichgau GmbH</t>
  </si>
  <si>
    <t xml:space="preserve">Industriestr.</t>
  </si>
  <si>
    <t xml:space="preserve">Grassilage</t>
  </si>
  <si>
    <t xml:space="preserve">Stadtwerke Speyer</t>
  </si>
  <si>
    <t xml:space="preserve">Werkstraße</t>
  </si>
  <si>
    <t xml:space="preserve">10</t>
  </si>
  <si>
    <t xml:space="preserve">67346</t>
  </si>
  <si>
    <t xml:space="preserve">Speyer</t>
  </si>
  <si>
    <t xml:space="preserve">Grünschnitt</t>
  </si>
  <si>
    <t xml:space="preserve">SW Speyer</t>
  </si>
  <si>
    <t xml:space="preserve">Kommune</t>
  </si>
  <si>
    <t xml:space="preserve">Laub</t>
  </si>
  <si>
    <t xml:space="preserve">Stadt Speyer</t>
  </si>
  <si>
    <t xml:space="preserve">Rathausplatz</t>
  </si>
  <si>
    <t xml:space="preserve">1</t>
  </si>
  <si>
    <t xml:space="preserve">Sägewerk Höllental</t>
  </si>
  <si>
    <t xml:space="preserve">Talstraße</t>
  </si>
  <si>
    <t xml:space="preserve">8</t>
  </si>
  <si>
    <t xml:space="preserve">79856</t>
  </si>
  <si>
    <t xml:space="preserve">Hinterzarten</t>
  </si>
  <si>
    <t xml:space="preserve">Forst</t>
  </si>
  <si>
    <t xml:space="preserve">Sägespäne</t>
  </si>
  <si>
    <t xml:space="preserve">Forstbetriebsgemeinschaft Odenwald e.V.</t>
  </si>
  <si>
    <t xml:space="preserve">Am Marktplatz</t>
  </si>
  <si>
    <t xml:space="preserve">3</t>
  </si>
  <si>
    <t xml:space="preserve">74722</t>
  </si>
  <si>
    <t xml:space="preserve">Buchen (Odenwald)</t>
  </si>
  <si>
    <t xml:space="preserve">Waldrestholz</t>
  </si>
  <si>
    <t xml:space="preserve">Holzhof Eberbach</t>
  </si>
  <si>
    <t xml:space="preserve">Neckarstraße</t>
  </si>
  <si>
    <t xml:space="preserve">22</t>
  </si>
  <si>
    <t xml:space="preserve">69412</t>
  </si>
  <si>
    <t xml:space="preserve">Eberbach</t>
  </si>
  <si>
    <t xml:space="preserve">Altholz A1</t>
  </si>
  <si>
    <t xml:space="preserve">1.200,5</t>
  </si>
  <si>
    <t xml:space="preserve">Reiterhof Sonnenhang</t>
  </si>
  <si>
    <t xml:space="preserve">Am Sonnenhang</t>
  </si>
  <si>
    <t xml:space="preserve">4</t>
  </si>
  <si>
    <t xml:space="preserve">69469</t>
  </si>
  <si>
    <t xml:space="preserve">Weinheim</t>
  </si>
  <si>
    <t xml:space="preserve">Pferdemist</t>
  </si>
  <si>
    <t xml:space="preserve">t/Monat</t>
  </si>
  <si>
    <t xml:space="preserve">Gärtnerei Grünwerk</t>
  </si>
  <si>
    <t xml:space="preserve">Gartenweg</t>
  </si>
  <si>
    <t xml:space="preserve">7</t>
  </si>
  <si>
    <t xml:space="preserve">68723</t>
  </si>
  <si>
    <t xml:space="preserve">Schwetzingen</t>
  </si>
  <si>
    <t xml:space="preserve">kg/a</t>
  </si>
  <si>
    <t xml:space="preserve">Zweckverband Abwasser Rheinauen</t>
  </si>
  <si>
    <t xml:space="preserve">Am Rhein</t>
  </si>
  <si>
    <t xml:space="preserve">Abfall</t>
  </si>
  <si>
    <t xml:space="preserve">Klärschlamm</t>
  </si>
  <si>
    <t xml:space="preserve">m³/a</t>
  </si>
  <si>
    <t xml:space="preserve">Mosterei Bergstraße</t>
  </si>
  <si>
    <t xml:space="preserve">Kelterweg</t>
  </si>
  <si>
    <t xml:space="preserve">2</t>
  </si>
  <si>
    <t xml:space="preserve">64646</t>
  </si>
  <si>
    <t xml:space="preserve">Heppenheim (Bergstraße)</t>
  </si>
  <si>
    <t xml:space="preserve">Trester</t>
  </si>
  <si>
    <t xml:space="preserve">t TM/a</t>
  </si>
  <si>
    <t xml:space="preserve">Hofgut Kirchberg</t>
  </si>
  <si>
    <t xml:space="preserve">Kirchberg</t>
  </si>
  <si>
    <t xml:space="preserve">Mosbach</t>
  </si>
  <si>
    <t xml:space="preserve">Stroh</t>
  </si>
  <si>
    <t xml:space="preserve">Agrargenossenschaft Rheinebene eG</t>
  </si>
  <si>
    <t xml:space="preserve">Feldstraße</t>
  </si>
  <si>
    <t xml:space="preserve">15</t>
  </si>
  <si>
    <t xml:space="preserve">68159</t>
  </si>
  <si>
    <t xml:space="preserve">Heidelberg</t>
  </si>
  <si>
    <t xml:space="preserve">Rindermist</t>
  </si>
  <si>
    <t xml:space="preserve">Biohof Morgenrot</t>
  </si>
  <si>
    <t xml:space="preserve">Wiesenweg</t>
  </si>
  <si>
    <t xml:space="preserve">9</t>
  </si>
  <si>
    <t xml:space="preserve">99999</t>
  </si>
  <si>
    <t xml:space="preserve">Landau in der Pfalz</t>
  </si>
  <si>
    <t xml:space="preserve">Gemüsereste</t>
  </si>
  <si>
    <t xml:space="preserve">Kompostwerk Breisgau</t>
  </si>
  <si>
    <t xml:space="preserve">30</t>
  </si>
  <si>
    <t xml:space="preserve">Freiburg</t>
  </si>
  <si>
    <t xml:space="preserve">Bioabfall</t>
  </si>
  <si>
    <t xml:space="preserve">Weingut Haardt</t>
  </si>
  <si>
    <t xml:space="preserve">Weinstraße</t>
  </si>
  <si>
    <t xml:space="preserve">50</t>
  </si>
  <si>
    <t xml:space="preserve">67433</t>
  </si>
  <si>
    <t xml:space="preserve">Neustadt an der Weinstraße</t>
  </si>
  <si>
    <t xml:space="preserve">Rebschnitt</t>
  </si>
  <si>
    <t xml:space="preserve">50-80</t>
  </si>
  <si>
    <t xml:space="preserve">Milchviehbetrieb Kaiser</t>
  </si>
  <si>
    <t xml:space="preserve">Dorfstraße</t>
  </si>
  <si>
    <t xml:space="preserve">ca. 3000</t>
  </si>
  <si>
    <t xml:space="preserve">Lohnunternehmen Maier &amp; Söhne</t>
  </si>
  <si>
    <t xml:space="preserve">Gewerbering</t>
  </si>
  <si>
    <t xml:space="preserve">76646</t>
  </si>
  <si>
    <t xml:space="preserve">Bruchsal</t>
  </si>
  <si>
    <t xml:space="preserve">Hackschnitzel</t>
  </si>
  <si>
    <t xml:space="preserve">Erika Beispiel</t>
  </si>
  <si>
    <t xml:space="preserve">07251 000000</t>
  </si>
  <si>
    <t xml:space="preserve">erika.beispiel@example.com</t>
  </si>
  <si>
    <t xml:space="preserve">Brauerei Zum Hopfen</t>
  </si>
  <si>
    <t xml:space="preserve">Brauhausgasse</t>
  </si>
  <si>
    <t xml:space="preserve">69117</t>
  </si>
  <si>
    <t xml:space="preserve">Gastronomie</t>
  </si>
  <si>
    <t xml:space="preserve">Treber</t>
  </si>
  <si>
    <t xml:space="preserve">Kantine Technologiepark</t>
  </si>
  <si>
    <t xml:space="preserve">Ring</t>
  </si>
  <si>
    <t xml:space="preserve">69190</t>
  </si>
  <si>
    <t xml:space="preserve">Walldorf</t>
  </si>
  <si>
    <t xml:space="preserve">Speisereste</t>
  </si>
  <si>
    <t xml:space="preserve">Rückruf bei Fr. Musterfrau, musterfrau@example.com</t>
  </si>
  <si>
    <t xml:space="preserve">Zuckerfabrik Südpfalz</t>
  </si>
  <si>
    <t xml:space="preserve">Fabrikstraße</t>
  </si>
  <si>
    <t xml:space="preserve">76726</t>
  </si>
  <si>
    <t xml:space="preserve">Germersheim</t>
  </si>
  <si>
    <t xml:space="preserve">Lebensmittelindustrie</t>
  </si>
  <si>
    <t xml:space="preserve">Rübenschnitzel</t>
  </si>
  <si>
    <t xml:space="preserve">Hofladen Wiesengrund</t>
  </si>
  <si>
    <t xml:space="preserve">Wiesengrund</t>
  </si>
  <si>
    <t xml:space="preserve">76887</t>
  </si>
  <si>
    <t xml:space="preserve">Bad Bergzabern</t>
  </si>
  <si>
    <t xml:space="preserve">ab sofort</t>
  </si>
  <si>
    <t xml:space="preserve">Pferdepension Waldblick</t>
  </si>
  <si>
    <t xml:space="preserve">Waldweg</t>
  </si>
  <si>
    <t xml:space="preserve">11</t>
  </si>
  <si>
    <t xml:space="preserve">67454</t>
  </si>
  <si>
    <t xml:space="preserve">Haßloch</t>
  </si>
  <si>
    <t xml:space="preserve">2027-03</t>
  </si>
  <si>
    <t xml:space="preserve">Agrar-Service Kraichgau</t>
  </si>
  <si>
    <t xml:space="preserve">Bahnhofstraße</t>
  </si>
  <si>
    <t xml:space="preserve">18</t>
  </si>
  <si>
    <t xml:space="preserve">74906</t>
  </si>
  <si>
    <t xml:space="preserve">Bad Rappenau</t>
  </si>
  <si>
    <t xml:space="preserve">Spelzen</t>
  </si>
  <si>
    <t xml:space="preserve">Biomassehof Hohenlohe GmbH</t>
  </si>
  <si>
    <t xml:space="preserve">Holzweg</t>
  </si>
  <si>
    <t xml:space="preserve">74523</t>
  </si>
  <si>
    <t xml:space="preserve">Schwäbisch Hall</t>
  </si>
  <si>
    <t xml:space="preserve">Holzhackschnitzel</t>
  </si>
  <si>
    <t xml:space="preserve">Angebot</t>
  </si>
  <si>
    <t xml:space="preserve">Stadt Frankenthal – Bauhof</t>
  </si>
  <si>
    <t xml:space="preserve">Bauhofstraße</t>
  </si>
  <si>
    <t xml:space="preserve">67227</t>
  </si>
  <si>
    <t xml:space="preserve">Frankenthal (Pfalz)</t>
  </si>
  <si>
    <t xml:space="preserve">Straßenbegleitgrün</t>
  </si>
  <si>
    <t xml:space="preserve">Hans Beispielmann</t>
  </si>
  <si>
    <t xml:space="preserve">Kirschenweg</t>
  </si>
  <si>
    <t xml:space="preserve">AVR Abfallverwertung Rhein-Neckar</t>
  </si>
  <si>
    <t xml:space="preserve">20</t>
  </si>
  <si>
    <t xml:space="preserve">AVR Rhein-Neckar</t>
  </si>
  <si>
    <t xml:space="preserve">Biogas Kehdingen GmbH</t>
  </si>
  <si>
    <t xml:space="preserve">Elbstraße</t>
  </si>
  <si>
    <t xml:space="preserve">21729</t>
  </si>
  <si>
    <t xml:space="preserve">Freiburg (Elbe)</t>
  </si>
  <si>
    <t xml:space="preserve">Gut Rheinhof</t>
  </si>
  <si>
    <t xml:space="preserve">Rheinstraße</t>
  </si>
  <si>
    <t xml:space="preserve">68199</t>
  </si>
  <si>
    <t xml:space="preserve">Mannheim-Neckarau</t>
  </si>
  <si>
    <t xml:space="preserve">Hühnertrockenkot</t>
  </si>
  <si>
    <t xml:space="preserve">Gartenbauamt Karlsruhe</t>
  </si>
  <si>
    <t xml:space="preserve">Parkweg</t>
  </si>
  <si>
    <t xml:space="preserve">76131</t>
  </si>
  <si>
    <t xml:space="preserve">Karlsruhe</t>
  </si>
  <si>
    <t xml:space="preserve">Gut Rheinhof Worms</t>
  </si>
  <si>
    <t xml:space="preserve">67547</t>
  </si>
  <si>
    <t xml:space="preserve">Worms</t>
  </si>
  <si>
    <t xml:space="preserve">Summe</t>
  </si>
  <si>
    <t xml:space="preserve">Quelle: Telefonumfrage und Webrecherche (fiktiv), Stand 09/2026</t>
  </si>
  <si>
    <t xml:space="preserve">Abnehmer</t>
  </si>
  <si>
    <t xml:space="preserve">Produkt</t>
  </si>
  <si>
    <t xml:space="preserve">Bedarf</t>
  </si>
  <si>
    <t xml:space="preserve">ab</t>
  </si>
  <si>
    <t xml:space="preserve">Kontakt</t>
  </si>
  <si>
    <t xml:space="preserve">Glaswerk Pfalz GmbH</t>
  </si>
  <si>
    <t xml:space="preserve">Hafenstraße</t>
  </si>
  <si>
    <t xml:space="preserve">67059</t>
  </si>
  <si>
    <t xml:space="preserve">Ludwigshafen am Rhein</t>
  </si>
  <si>
    <t xml:space="preserve">Industrie</t>
  </si>
  <si>
    <t xml:space="preserve">Wärme</t>
  </si>
  <si>
    <t xml:space="preserve">MWh/a</t>
  </si>
  <si>
    <t xml:space="preserve">Gewächshaus Sonnenfeld</t>
  </si>
  <si>
    <t xml:space="preserve">Am Feld</t>
  </si>
  <si>
    <t xml:space="preserve">68766</t>
  </si>
  <si>
    <t xml:space="preserve">Hockenheim</t>
  </si>
  <si>
    <t xml:space="preserve">CO2</t>
  </si>
  <si>
    <t xml:space="preserve">Logistikzentrum Walldorf</t>
  </si>
  <si>
    <t xml:space="preserve">Industriering</t>
  </si>
  <si>
    <t xml:space="preserve">40</t>
  </si>
  <si>
    <t xml:space="preserve">Logistik</t>
  </si>
  <si>
    <t xml:space="preserve">Wasserstoff</t>
  </si>
  <si>
    <t xml:space="preserve">Herr Beispiel, 06221 000000</t>
  </si>
  <si>
    <t xml:space="preserve">Busbetrieb Rhein-Neckar</t>
  </si>
  <si>
    <t xml:space="preserve">Depotstraße</t>
  </si>
  <si>
    <t xml:space="preserve">Mannheim</t>
  </si>
  <si>
    <t xml:space="preserve">Verkehr</t>
  </si>
  <si>
    <t xml:space="preserve">Kühlhaus Nord</t>
  </si>
  <si>
    <t xml:space="preserve">Kaistraße</t>
  </si>
  <si>
    <t xml:space="preserve">Kälte</t>
  </si>
  <si>
    <t xml:space="preserve">Fernwärme Bretten</t>
  </si>
  <si>
    <t xml:space="preserve">Wärmeweg</t>
  </si>
  <si>
    <t xml:space="preserve">GWh/a</t>
  </si>
  <si>
    <t xml:space="preserve">Legende zur Arbeitsliste (darf nicht importiert werden)</t>
  </si>
  <si>
    <t xml:space="preserve">Menge: Frischmasse pro Jahr, wenn nicht anders angegeben</t>
  </si>
  <si>
    <t xml:space="preserve">Preis: €/t, negativ = Zuzahlung an Abnehmer</t>
  </si>
  <si>
    <t xml:space="preserve">Quelle: Gespräch / Webrecherche / Angebot / Dokument</t>
  </si>
  <si>
    <t xml:space="preserve">Stand: Datum der Erhebung</t>
  </si>
  <si>
    <t xml:space="preserve">Blatt</t>
  </si>
  <si>
    <t xml:space="preserve">Excel-Zeile</t>
  </si>
  <si>
    <t xml:space="preserve">Testfall</t>
  </si>
  <si>
    <t xml:space="preserve">Erwartung nach E67/E68</t>
  </si>
  <si>
    <t xml:space="preserve">Erhebung Biomasse</t>
  </si>
  <si>
    <t xml:space="preserve">Titelzeilen über der Kopfzeile (Kopfzeile in Zeile 4)</t>
  </si>
  <si>
    <t xml:space="preserve">Kopfzeile wird erkannt bzw. ist wählbar</t>
  </si>
  <si>
    <t xml:space="preserve">Normalfall</t>
  </si>
  <si>
    <t xml:space="preserve">Import ok; neuer Akteur (oder Treffer, falls vorhanden)</t>
  </si>
  <si>
    <t xml:space="preserve">Einheit 't' ohne Zeitbezug</t>
  </si>
  <si>
    <t xml:space="preserve">Fehler (mehrdeutig, Leitregel: mehrdeutige Eingaben abweisen) → Nacharbeit</t>
  </si>
  <si>
    <t xml:space="preserve">Gleicher Akteur wie Zeile davor (Rechtsform/Abkürzung)</t>
  </si>
  <si>
    <t xml:space="preserve">identisch innerhalb des Laufs → ein Akteur für beide Zeilen</t>
  </si>
  <si>
    <t xml:space="preserve">Normalfall Kommune/Energie</t>
  </si>
  <si>
    <t xml:space="preserve">Import ok</t>
  </si>
  <si>
    <t xml:space="preserve">Abkürzung SW + abweichender Sektor zur Zeile davor</t>
  </si>
  <si>
    <t xml:space="preserve">identisch (SW→stadtwerke) → selber Akteur; Sektor-Konflikt im Lauf sichtbar machen, eine Entscheidung je Akteur (Weggabelung)</t>
  </si>
  <si>
    <t xml:space="preserve">Falscher Freund zu Stadtwerke Speyer</t>
  </si>
  <si>
    <t xml:space="preserve">stark-Vorschlag möglich; Nutzer lehnt ab → eigener Akteur</t>
  </si>
  <si>
    <t xml:space="preserve">Ähnlich zu bestehendem Preview-Akteur 'Test: Sägewerk Höllental'</t>
  </si>
  <si>
    <t xml:space="preserve">Vorschlag zu bestehendem Akteur (stark oder schwach)</t>
  </si>
  <si>
    <t xml:space="preserve">Ortsname mit Klammer</t>
  </si>
  <si>
    <t xml:space="preserve">PLZ↔Ort lokal passend; Import ok</t>
  </si>
  <si>
    <t xml:space="preserve">Deutsches Zahlenformat mit Nachkommastelle</t>
  </si>
  <si>
    <t xml:space="preserve">Zahl korrekt als 1200,5 lesen; Umgang mit Nachkommastellen (E20) festlegen (Weggabelung)</t>
  </si>
  <si>
    <t xml:space="preserve">Einheit pro Monat</t>
  </si>
  <si>
    <t xml:space="preserve">Umrechnung auf 4.200 t/a</t>
  </si>
  <si>
    <t xml:space="preserve">Einheit kg/a</t>
  </si>
  <si>
    <t xml:space="preserve">Umrechnung auf 80 t/a</t>
  </si>
  <si>
    <t xml:space="preserve">Einheit m³ + Adresse ohne Hausnummer</t>
  </si>
  <si>
    <t xml:space="preserve">Fehler Einheit (nicht ohne Annahme umrechenbar) → Nacharbeit; Adresse: Genauigkeit 'strasse'</t>
  </si>
  <si>
    <t xml:space="preserve">Trockenmasse statt Frischmasse</t>
  </si>
  <si>
    <t xml:space="preserve">Fehler (TM/atro nicht zulässig) → Nacharbeit</t>
  </si>
  <si>
    <t xml:space="preserve">PLZ fehlt</t>
  </si>
  <si>
    <t xml:space="preserve">Nacharbeit; 'Meinten Sie …?' mit PLZ zu Mosbach (lokal)</t>
  </si>
  <si>
    <t xml:space="preserve">PLZ passt nicht zum Ort</t>
  </si>
  <si>
    <t xml:space="preserve">'Meinten Sie 68159 Mannheim?' bzw. Orte zur PLZ (lokal)</t>
  </si>
  <si>
    <t xml:space="preserve">Unbekannte PLZ</t>
  </si>
  <si>
    <t xml:space="preserve">Fehler 'PLZ unbekannt' → Nacharbeit</t>
  </si>
  <si>
    <t xml:space="preserve">Mehrdeutiger Ort ohne PLZ (Freiburg i. Br. / Freiburg Elbe)</t>
  </si>
  <si>
    <t xml:space="preserve">Nacharbeit; 'Meinten Sie …?' mit Kreis und Land; ähnlich zu Preview-Akteur 'Test: Kompostwerk Breisgau'</t>
  </si>
  <si>
    <t xml:space="preserve">Menge als Spanne</t>
  </si>
  <si>
    <t xml:space="preserve">Fehler (Spannen nur für Zeitraum) → Nacharbeit</t>
  </si>
  <si>
    <t xml:space="preserve">Menge mit 'ca.'</t>
  </si>
  <si>
    <t xml:space="preserve">Fehler (kein eindeutiger Zahlenwert) → Nacharbeit</t>
  </si>
  <si>
    <t xml:space="preserve">Exakte Doppelzeile zu Zeile 5</t>
  </si>
  <si>
    <t xml:space="preserve">Innerhalb der Datei als 'ähnlich' markieren oder überspringen (Weggabelung: E67 regelt nur Abgleich mit Bestand)</t>
  </si>
  <si>
    <t xml:space="preserve">Personen-Spalten befüllt</t>
  </si>
  <si>
    <t xml:space="preserve">Spalten Ansprechpartner/Telefon/E-Mail erkannt und nie gespeichert; Hinweis am Akteur 'Quelle enthielt Ansprechpartner'</t>
  </si>
  <si>
    <t xml:space="preserve">Unbekannter Sektor-Wert 'Gastronomie'</t>
  </si>
  <si>
    <t xml:space="preserve">Werte-Zuordnung je Wert einmal (oder Standard-Sektor)</t>
  </si>
  <si>
    <t xml:space="preserve">Personendaten im Freitext 'Bemerkung'</t>
  </si>
  <si>
    <t xml:space="preserve">Bemerkung mit E-Mail wird abgewiesen/nicht übernommen (import-check: felder_mit_email abgewiesen)</t>
  </si>
  <si>
    <t xml:space="preserve">Saisonaler Zeitraum (echte Datumswerte)</t>
  </si>
  <si>
    <t xml:space="preserve">Import ok; zeitraum_von/bis gesetzt; Sektor-Wert zuordnen</t>
  </si>
  <si>
    <t xml:space="preserve">Datum als Text 'ab sofort'</t>
  </si>
  <si>
    <t xml:space="preserve">Fehler Datum → Nacharbeit (kein erfundenes Datum)</t>
  </si>
  <si>
    <t xml:space="preserve">Datum nur Monat '2027-03'</t>
  </si>
  <si>
    <t xml:space="preserve">mehrdeutig → Fehler oder klare Regel (Weggabelung)</t>
  </si>
  <si>
    <t xml:space="preserve">Normalfall mit Datum</t>
  </si>
  <si>
    <t xml:space="preserve">Belegtyp, Stand und gültig bis je Zeile + Preis</t>
  </si>
  <si>
    <t xml:space="preserve">eigener Beleg (Angebot, 15.09.2026, 31.12.2026); Synonym zu 'Hackschnitzel' per Werte-Zuordnung</t>
  </si>
  <si>
    <t xml:space="preserve">Negativer Preis (Zuzahlung)</t>
  </si>
  <si>
    <t xml:space="preserve">Vorzeichen nach E14 prüfen (Zahlungsstrom aus Sicht bhyo) – Testfall für Zuordnung</t>
  </si>
  <si>
    <t xml:space="preserve">Akteur ist Einzelunternehmer mit Personennamen</t>
  </si>
  <si>
    <t xml:space="preserve">Erlaubt als Akteur (Spalte 'Betrieb'), darf nicht als Personen-Spalte verworfen werden</t>
  </si>
  <si>
    <t xml:space="preserve">Leerzeile mitten in den Daten</t>
  </si>
  <si>
    <t xml:space="preserve">wird übersprungen, kein Fehler</t>
  </si>
  <si>
    <t xml:space="preserve">Langname</t>
  </si>
  <si>
    <t xml:space="preserve">Kurzname (Wort-Teilmenge) zur Zeile davor</t>
  </si>
  <si>
    <t xml:space="preserve">stark-Vorschlag innerhalb des Laufs → bestätigen = selber Akteur</t>
  </si>
  <si>
    <t xml:space="preserve">Freiburg (Elbe), weit entfernt</t>
  </si>
  <si>
    <t xml:space="preserve">Import ok; Anzeige mit Kreis Stade und Land NI</t>
  </si>
  <si>
    <t xml:space="preserve">Ort mit Ortsteil</t>
  </si>
  <si>
    <t xml:space="preserve">PLZ 68199 gehört zu Mannheim → 'Meinten Sie 68199 Mannheim?' oder Ortsteil-Toleranz (Weggabelung)</t>
  </si>
  <si>
    <t xml:space="preserve">Ähnlicher Name, andere PLZ als Gut Rheinhof</t>
  </si>
  <si>
    <t xml:space="preserve">höchstens schwach-Vorschlag; Standard: eigener Akteur</t>
  </si>
  <si>
    <t xml:space="preserve">Summenzeile mit Formel</t>
  </si>
  <si>
    <t xml:space="preserve">wird erkannt und übersprungen, kein Strom 'Summe'</t>
  </si>
  <si>
    <t xml:space="preserve">Fußnote unter der Tabelle</t>
  </si>
  <si>
    <t xml:space="preserve">wird übersprungen</t>
  </si>
  <si>
    <t xml:space="preserve">Bedarfe</t>
  </si>
  <si>
    <t xml:space="preserve">Normalfall Bedarf Wärme</t>
  </si>
  <si>
    <t xml:space="preserve">Import ok (Art: Bedarf)</t>
  </si>
  <si>
    <t xml:space="preserve">Normalfall CO2</t>
  </si>
  <si>
    <t xml:space="preserve">Unbekannter Sektor-Wert 'Logistik'</t>
  </si>
  <si>
    <t xml:space="preserve">Werte-Zuordnung</t>
  </si>
  <si>
    <t xml:space="preserve">Akteur existiert nach Import von Blatt 1</t>
  </si>
  <si>
    <t xml:space="preserve">identisch zu bestehendem Akteur → automatische Zuordnung</t>
  </si>
  <si>
    <t xml:space="preserve">Personen-Spalte 'Kontakt'</t>
  </si>
  <si>
    <t xml:space="preserve">Spalte erkannt und verworfen; Hinweis am Akteur</t>
  </si>
  <si>
    <t xml:space="preserve">Umrechnung auf 30 t/a</t>
  </si>
  <si>
    <t xml:space="preserve">Unbekanntes Produkt 'Kälte'</t>
  </si>
  <si>
    <t xml:space="preserve">Werte-Zuordnung oder Fehler → Nacharbeit</t>
  </si>
  <si>
    <t xml:space="preserve">Einheit GWh/a</t>
  </si>
  <si>
    <t xml:space="preserve">Umrechnung 20.000 MWh/a, falls Einheit unterstützt; sonst Fehler (Weggabelung)</t>
  </si>
  <si>
    <t xml:space="preserve">Legende</t>
  </si>
  <si>
    <t xml:space="preserve">Blatt ohne Tabellendaten</t>
  </si>
  <si>
    <t xml:space="preserve">nicht als Import-Blatt geeignet; Blattwahl testet das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</si>
</sst>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dd\.mm\.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8" min="7" style="0" width="20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2"/>
    <col collapsed="false" customWidth="true" hidden="false" outlineLevel="0" max="13" min="13" style="0" width="10"/>
    <col collapsed="false" customWidth="true" hidden="false" outlineLevel="0" max="16" min="14" style="0" width="11"/>
    <col collapsed="false" customWidth="true" hidden="false" outlineLevel="0" max="17" min="17" style="0" width="16"/>
    <col collapsed="false" customWidth="true" hidden="false" outlineLevel="0" max="18" min="18" style="0" width="14"/>
    <col collapsed="false" customWidth="true" hidden="false" outlineLevel="0" max="19" min="19" style="0" width="26"/>
    <col collapsed="false" customWidth="true" hidden="false" outlineLevel="0" max="20" min="20" style="0" width="4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</row>
    <row r="5" customFormat="false" ht="15" hidden="false" customHeight="false" outlineLevel="0" collapsed="false">
      <c r="A5" s="4" t="n">
        <v>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  <c r="G5" s="4" t="s">
        <v>27</v>
      </c>
      <c r="H5" s="4" t="s">
        <v>28</v>
      </c>
      <c r="I5" s="5" t="n">
        <v>4500</v>
      </c>
      <c r="J5" s="4" t="s">
        <v>29</v>
      </c>
      <c r="K5" s="4"/>
      <c r="L5" s="4"/>
      <c r="M5" s="4"/>
      <c r="N5" s="4" t="s">
        <v>30</v>
      </c>
      <c r="O5" s="4"/>
      <c r="P5" s="4"/>
      <c r="Q5" s="4"/>
      <c r="R5" s="4"/>
      <c r="S5" s="4"/>
      <c r="T5" s="4"/>
    </row>
    <row r="6" customFormat="false" ht="15" hidden="false" customHeight="false" outlineLevel="0" collapsed="false">
      <c r="A6" s="4" t="n">
        <v>2</v>
      </c>
      <c r="B6" s="4" t="s">
        <v>31</v>
      </c>
      <c r="C6" s="4" t="s">
        <v>32</v>
      </c>
      <c r="D6" s="4" t="s">
        <v>33</v>
      </c>
      <c r="E6" s="4" t="s">
        <v>34</v>
      </c>
      <c r="F6" s="4" t="s">
        <v>35</v>
      </c>
      <c r="G6" s="4" t="s">
        <v>36</v>
      </c>
      <c r="H6" s="4" t="s">
        <v>37</v>
      </c>
      <c r="I6" s="5" t="n">
        <v>12000</v>
      </c>
      <c r="J6" s="4" t="s">
        <v>38</v>
      </c>
      <c r="K6" s="4"/>
      <c r="L6" s="4"/>
      <c r="M6" s="4"/>
      <c r="N6" s="4"/>
      <c r="O6" s="4"/>
      <c r="P6" s="4"/>
      <c r="Q6" s="4"/>
      <c r="R6" s="4"/>
      <c r="S6" s="4"/>
      <c r="T6" s="4"/>
    </row>
    <row r="7" customFormat="false" ht="15" hidden="false" customHeight="false" outlineLevel="0" collapsed="false">
      <c r="A7" s="4" t="n">
        <v>3</v>
      </c>
      <c r="B7" s="4" t="s">
        <v>39</v>
      </c>
      <c r="C7" s="4" t="s">
        <v>40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41</v>
      </c>
      <c r="I7" s="5" t="n">
        <v>3000</v>
      </c>
      <c r="J7" s="4" t="s">
        <v>29</v>
      </c>
      <c r="K7" s="4"/>
      <c r="L7" s="4"/>
      <c r="M7" s="4"/>
      <c r="N7" s="4"/>
      <c r="O7" s="4"/>
      <c r="P7" s="4"/>
      <c r="Q7" s="4"/>
      <c r="R7" s="4"/>
      <c r="S7" s="4"/>
      <c r="T7" s="4"/>
    </row>
    <row r="8" customFormat="false" ht="15" hidden="false" customHeight="false" outlineLevel="0" collapsed="false">
      <c r="A8" s="4" t="n">
        <v>4</v>
      </c>
      <c r="B8" s="4" t="s">
        <v>42</v>
      </c>
      <c r="C8" s="4" t="s">
        <v>43</v>
      </c>
      <c r="D8" s="4" t="s">
        <v>44</v>
      </c>
      <c r="E8" s="4" t="s">
        <v>45</v>
      </c>
      <c r="F8" s="4" t="s">
        <v>46</v>
      </c>
      <c r="G8" s="4" t="s">
        <v>36</v>
      </c>
      <c r="H8" s="4" t="s">
        <v>47</v>
      </c>
      <c r="I8" s="5" t="n">
        <v>800</v>
      </c>
      <c r="J8" s="4" t="s">
        <v>29</v>
      </c>
      <c r="K8" s="4"/>
      <c r="L8" s="4"/>
      <c r="M8" s="4"/>
      <c r="N8" s="4"/>
      <c r="O8" s="4"/>
      <c r="P8" s="4"/>
      <c r="Q8" s="4"/>
      <c r="R8" s="4"/>
      <c r="S8" s="4"/>
      <c r="T8" s="4"/>
    </row>
    <row r="9" customFormat="false" ht="15" hidden="false" customHeight="false" outlineLevel="0" collapsed="false">
      <c r="A9" s="4" t="n">
        <v>5</v>
      </c>
      <c r="B9" s="4" t="s">
        <v>48</v>
      </c>
      <c r="C9" s="4" t="s">
        <v>43</v>
      </c>
      <c r="D9" s="4" t="s">
        <v>44</v>
      </c>
      <c r="E9" s="4" t="s">
        <v>45</v>
      </c>
      <c r="F9" s="4" t="s">
        <v>46</v>
      </c>
      <c r="G9" s="4" t="s">
        <v>49</v>
      </c>
      <c r="H9" s="4" t="s">
        <v>50</v>
      </c>
      <c r="I9" s="5" t="n">
        <v>150</v>
      </c>
      <c r="J9" s="4" t="s">
        <v>29</v>
      </c>
      <c r="K9" s="4"/>
      <c r="L9" s="4"/>
      <c r="M9" s="4"/>
      <c r="N9" s="4"/>
      <c r="O9" s="4"/>
      <c r="P9" s="4"/>
      <c r="Q9" s="4"/>
      <c r="R9" s="4"/>
      <c r="S9" s="4"/>
      <c r="T9" s="4"/>
    </row>
    <row r="10" customFormat="false" ht="15" hidden="false" customHeight="false" outlineLevel="0" collapsed="false">
      <c r="A10" s="4" t="n">
        <v>6</v>
      </c>
      <c r="B10" s="4" t="s">
        <v>51</v>
      </c>
      <c r="C10" s="4" t="s">
        <v>52</v>
      </c>
      <c r="D10" s="4" t="s">
        <v>53</v>
      </c>
      <c r="E10" s="4" t="s">
        <v>45</v>
      </c>
      <c r="F10" s="4" t="s">
        <v>46</v>
      </c>
      <c r="G10" s="4" t="s">
        <v>49</v>
      </c>
      <c r="H10" s="4" t="s">
        <v>47</v>
      </c>
      <c r="I10" s="5" t="n">
        <v>1200</v>
      </c>
      <c r="J10" s="4" t="s">
        <v>29</v>
      </c>
      <c r="K10" s="4"/>
      <c r="L10" s="4"/>
      <c r="M10" s="4"/>
      <c r="N10" s="4"/>
      <c r="O10" s="4"/>
      <c r="P10" s="4"/>
      <c r="Q10" s="4"/>
      <c r="R10" s="4"/>
      <c r="S10" s="4"/>
      <c r="T10" s="4"/>
    </row>
    <row r="11" customFormat="false" ht="15" hidden="false" customHeight="false" outlineLevel="0" collapsed="false">
      <c r="A11" s="4" t="n">
        <v>7</v>
      </c>
      <c r="B11" s="4" t="s">
        <v>54</v>
      </c>
      <c r="C11" s="4" t="s">
        <v>55</v>
      </c>
      <c r="D11" s="4" t="s">
        <v>56</v>
      </c>
      <c r="E11" s="4" t="s">
        <v>57</v>
      </c>
      <c r="F11" s="4" t="s">
        <v>58</v>
      </c>
      <c r="G11" s="4" t="s">
        <v>59</v>
      </c>
      <c r="H11" s="4" t="s">
        <v>60</v>
      </c>
      <c r="I11" s="5" t="n">
        <v>600</v>
      </c>
      <c r="J11" s="4" t="s">
        <v>29</v>
      </c>
      <c r="K11" s="4"/>
      <c r="L11" s="4"/>
      <c r="M11" s="4"/>
      <c r="N11" s="4"/>
      <c r="O11" s="4"/>
      <c r="P11" s="4"/>
      <c r="Q11" s="4"/>
      <c r="R11" s="4"/>
      <c r="S11" s="4"/>
      <c r="T11" s="4"/>
    </row>
    <row r="12" customFormat="false" ht="15" hidden="false" customHeight="false" outlineLevel="0" collapsed="false">
      <c r="A12" s="4" t="n">
        <v>8</v>
      </c>
      <c r="B12" s="4" t="s">
        <v>61</v>
      </c>
      <c r="C12" s="4" t="s">
        <v>62</v>
      </c>
      <c r="D12" s="4" t="s">
        <v>63</v>
      </c>
      <c r="E12" s="4" t="s">
        <v>64</v>
      </c>
      <c r="F12" s="4" t="s">
        <v>65</v>
      </c>
      <c r="G12" s="4" t="s">
        <v>59</v>
      </c>
      <c r="H12" s="4" t="s">
        <v>66</v>
      </c>
      <c r="I12" s="5" t="n">
        <v>2000</v>
      </c>
      <c r="J12" s="4" t="s">
        <v>29</v>
      </c>
      <c r="K12" s="4"/>
      <c r="L12" s="4"/>
      <c r="M12" s="4"/>
      <c r="N12" s="4"/>
      <c r="O12" s="4"/>
      <c r="P12" s="4"/>
      <c r="Q12" s="4"/>
      <c r="R12" s="4"/>
      <c r="S12" s="4"/>
      <c r="T12" s="4"/>
    </row>
    <row r="13" customFormat="false" ht="15" hidden="false" customHeight="false" outlineLevel="0" collapsed="false">
      <c r="A13" s="4" t="n">
        <v>9</v>
      </c>
      <c r="B13" s="4" t="s">
        <v>67</v>
      </c>
      <c r="C13" s="4" t="s">
        <v>68</v>
      </c>
      <c r="D13" s="4" t="s">
        <v>69</v>
      </c>
      <c r="E13" s="4" t="s">
        <v>70</v>
      </c>
      <c r="F13" s="4" t="s">
        <v>71</v>
      </c>
      <c r="G13" s="4" t="s">
        <v>59</v>
      </c>
      <c r="H13" s="4" t="s">
        <v>72</v>
      </c>
      <c r="I13" s="4" t="s">
        <v>73</v>
      </c>
      <c r="J13" s="4" t="s">
        <v>29</v>
      </c>
      <c r="K13" s="4"/>
      <c r="L13" s="4"/>
      <c r="M13" s="4"/>
      <c r="N13" s="4"/>
      <c r="O13" s="4"/>
      <c r="P13" s="4"/>
      <c r="Q13" s="4"/>
      <c r="R13" s="4"/>
      <c r="S13" s="4"/>
      <c r="T13" s="4"/>
    </row>
    <row r="14" customFormat="false" ht="15" hidden="false" customHeight="false" outlineLevel="0" collapsed="false">
      <c r="A14" s="4" t="n">
        <v>10</v>
      </c>
      <c r="B14" s="4" t="s">
        <v>74</v>
      </c>
      <c r="C14" s="4" t="s">
        <v>75</v>
      </c>
      <c r="D14" s="4" t="s">
        <v>76</v>
      </c>
      <c r="E14" s="4" t="s">
        <v>77</v>
      </c>
      <c r="F14" s="4" t="s">
        <v>78</v>
      </c>
      <c r="G14" s="4" t="s">
        <v>27</v>
      </c>
      <c r="H14" s="4" t="s">
        <v>79</v>
      </c>
      <c r="I14" s="5" t="n">
        <v>350</v>
      </c>
      <c r="J14" s="4" t="s">
        <v>80</v>
      </c>
      <c r="K14" s="4"/>
      <c r="L14" s="4"/>
      <c r="M14" s="4"/>
      <c r="N14" s="4"/>
      <c r="O14" s="4"/>
      <c r="P14" s="4"/>
      <c r="Q14" s="4"/>
      <c r="R14" s="4"/>
      <c r="S14" s="4"/>
      <c r="T14" s="4"/>
    </row>
    <row r="15" customFormat="false" ht="15" hidden="false" customHeight="false" outlineLevel="0" collapsed="false">
      <c r="A15" s="4" t="n">
        <v>11</v>
      </c>
      <c r="B15" s="4" t="s">
        <v>81</v>
      </c>
      <c r="C15" s="4" t="s">
        <v>82</v>
      </c>
      <c r="D15" s="4" t="s">
        <v>83</v>
      </c>
      <c r="E15" s="4" t="s">
        <v>84</v>
      </c>
      <c r="F15" s="4" t="s">
        <v>85</v>
      </c>
      <c r="G15" s="4" t="s">
        <v>27</v>
      </c>
      <c r="H15" s="4" t="s">
        <v>47</v>
      </c>
      <c r="I15" s="5" t="n">
        <v>80000</v>
      </c>
      <c r="J15" s="4" t="s">
        <v>86</v>
      </c>
      <c r="K15" s="4"/>
      <c r="L15" s="4"/>
      <c r="M15" s="4"/>
      <c r="N15" s="4"/>
      <c r="O15" s="4"/>
      <c r="P15" s="4"/>
      <c r="Q15" s="4"/>
      <c r="R15" s="4"/>
      <c r="S15" s="4"/>
      <c r="T15" s="4"/>
    </row>
    <row r="16" customFormat="false" ht="15" hidden="false" customHeight="false" outlineLevel="0" collapsed="false">
      <c r="A16" s="4" t="n">
        <v>12</v>
      </c>
      <c r="B16" s="4" t="s">
        <v>87</v>
      </c>
      <c r="C16" s="4" t="s">
        <v>88</v>
      </c>
      <c r="D16" s="4"/>
      <c r="E16" s="4" t="s">
        <v>45</v>
      </c>
      <c r="F16" s="4" t="s">
        <v>46</v>
      </c>
      <c r="G16" s="4" t="s">
        <v>89</v>
      </c>
      <c r="H16" s="4" t="s">
        <v>90</v>
      </c>
      <c r="I16" s="5" t="n">
        <v>2400</v>
      </c>
      <c r="J16" s="4" t="s">
        <v>91</v>
      </c>
      <c r="K16" s="4"/>
      <c r="L16" s="4"/>
      <c r="M16" s="4"/>
      <c r="N16" s="4"/>
      <c r="O16" s="4"/>
      <c r="P16" s="4"/>
      <c r="Q16" s="4"/>
      <c r="R16" s="4"/>
      <c r="S16" s="4"/>
      <c r="T16" s="4"/>
    </row>
    <row r="17" customFormat="false" ht="15" hidden="false" customHeight="false" outlineLevel="0" collapsed="false">
      <c r="A17" s="4" t="n">
        <v>13</v>
      </c>
      <c r="B17" s="4" t="s">
        <v>92</v>
      </c>
      <c r="C17" s="4" t="s">
        <v>93</v>
      </c>
      <c r="D17" s="4" t="s">
        <v>94</v>
      </c>
      <c r="E17" s="4" t="s">
        <v>95</v>
      </c>
      <c r="F17" s="4" t="s">
        <v>96</v>
      </c>
      <c r="G17" s="4" t="s">
        <v>27</v>
      </c>
      <c r="H17" s="4" t="s">
        <v>97</v>
      </c>
      <c r="I17" s="5" t="n">
        <v>120</v>
      </c>
      <c r="J17" s="4" t="s">
        <v>98</v>
      </c>
      <c r="K17" s="4"/>
      <c r="L17" s="4"/>
      <c r="M17" s="4"/>
      <c r="N17" s="4"/>
      <c r="O17" s="4"/>
      <c r="P17" s="4"/>
      <c r="Q17" s="4"/>
      <c r="R17" s="4"/>
      <c r="S17" s="4"/>
      <c r="T17" s="4"/>
    </row>
    <row r="18" customFormat="false" ht="15" hidden="false" customHeight="false" outlineLevel="0" collapsed="false">
      <c r="A18" s="4" t="n">
        <v>14</v>
      </c>
      <c r="B18" s="4" t="s">
        <v>99</v>
      </c>
      <c r="C18" s="4" t="s">
        <v>100</v>
      </c>
      <c r="D18" s="4" t="s">
        <v>53</v>
      </c>
      <c r="E18" s="4"/>
      <c r="F18" s="4" t="s">
        <v>101</v>
      </c>
      <c r="G18" s="4" t="s">
        <v>27</v>
      </c>
      <c r="H18" s="4" t="s">
        <v>102</v>
      </c>
      <c r="I18" s="5" t="n">
        <v>900</v>
      </c>
      <c r="J18" s="4" t="s">
        <v>29</v>
      </c>
      <c r="K18" s="4"/>
      <c r="L18" s="4"/>
      <c r="M18" s="4"/>
      <c r="N18" s="4"/>
      <c r="O18" s="4"/>
      <c r="P18" s="4"/>
      <c r="Q18" s="4"/>
      <c r="R18" s="4"/>
      <c r="S18" s="4"/>
      <c r="T18" s="4"/>
    </row>
    <row r="19" customFormat="false" ht="15" hidden="false" customHeight="false" outlineLevel="0" collapsed="false">
      <c r="A19" s="4" t="n">
        <v>15</v>
      </c>
      <c r="B19" s="4" t="s">
        <v>103</v>
      </c>
      <c r="C19" s="4" t="s">
        <v>104</v>
      </c>
      <c r="D19" s="4" t="s">
        <v>105</v>
      </c>
      <c r="E19" s="4" t="s">
        <v>106</v>
      </c>
      <c r="F19" s="4" t="s">
        <v>107</v>
      </c>
      <c r="G19" s="4" t="s">
        <v>27</v>
      </c>
      <c r="H19" s="4" t="s">
        <v>108</v>
      </c>
      <c r="I19" s="5" t="n">
        <v>1800</v>
      </c>
      <c r="J19" s="4" t="s">
        <v>29</v>
      </c>
      <c r="K19" s="4"/>
      <c r="L19" s="4"/>
      <c r="M19" s="4"/>
      <c r="N19" s="4"/>
      <c r="O19" s="4"/>
      <c r="P19" s="4"/>
      <c r="Q19" s="4"/>
      <c r="R19" s="4"/>
      <c r="S19" s="4"/>
      <c r="T19" s="4"/>
    </row>
    <row r="20" customFormat="false" ht="15" hidden="false" customHeight="false" outlineLevel="0" collapsed="false">
      <c r="A20" s="4" t="n">
        <v>16</v>
      </c>
      <c r="B20" s="4" t="s">
        <v>109</v>
      </c>
      <c r="C20" s="4" t="s">
        <v>110</v>
      </c>
      <c r="D20" s="4" t="s">
        <v>111</v>
      </c>
      <c r="E20" s="4" t="s">
        <v>112</v>
      </c>
      <c r="F20" s="4" t="s">
        <v>113</v>
      </c>
      <c r="G20" s="4" t="s">
        <v>27</v>
      </c>
      <c r="H20" s="4" t="s">
        <v>114</v>
      </c>
      <c r="I20" s="5" t="n">
        <v>60</v>
      </c>
      <c r="J20" s="4" t="s">
        <v>29</v>
      </c>
      <c r="K20" s="4"/>
      <c r="L20" s="4"/>
      <c r="M20" s="4"/>
      <c r="N20" s="4"/>
      <c r="O20" s="4"/>
      <c r="P20" s="4"/>
      <c r="Q20" s="4"/>
      <c r="R20" s="4"/>
      <c r="S20" s="4"/>
      <c r="T20" s="4"/>
    </row>
    <row r="21" customFormat="false" ht="15" hidden="false" customHeight="false" outlineLevel="0" collapsed="false">
      <c r="A21" s="4" t="n">
        <v>17</v>
      </c>
      <c r="B21" s="4" t="s">
        <v>115</v>
      </c>
      <c r="C21" s="4" t="s">
        <v>32</v>
      </c>
      <c r="D21" s="4" t="s">
        <v>116</v>
      </c>
      <c r="E21" s="4"/>
      <c r="F21" s="4" t="s">
        <v>117</v>
      </c>
      <c r="G21" s="4" t="s">
        <v>89</v>
      </c>
      <c r="H21" s="4" t="s">
        <v>118</v>
      </c>
      <c r="I21" s="5" t="n">
        <v>5000</v>
      </c>
      <c r="J21" s="4" t="s">
        <v>29</v>
      </c>
      <c r="K21" s="4"/>
      <c r="L21" s="4"/>
      <c r="M21" s="4"/>
      <c r="N21" s="4"/>
      <c r="O21" s="4"/>
      <c r="P21" s="4"/>
      <c r="Q21" s="4"/>
      <c r="R21" s="4"/>
      <c r="S21" s="4"/>
      <c r="T21" s="4"/>
    </row>
    <row r="22" customFormat="false" ht="15" hidden="false" customHeight="false" outlineLevel="0" collapsed="false">
      <c r="A22" s="4" t="n">
        <v>18</v>
      </c>
      <c r="B22" s="4" t="s">
        <v>119</v>
      </c>
      <c r="C22" s="4" t="s">
        <v>120</v>
      </c>
      <c r="D22" s="4" t="s">
        <v>121</v>
      </c>
      <c r="E22" s="4" t="s">
        <v>122</v>
      </c>
      <c r="F22" s="4" t="s">
        <v>123</v>
      </c>
      <c r="G22" s="4" t="s">
        <v>27</v>
      </c>
      <c r="H22" s="4" t="s">
        <v>124</v>
      </c>
      <c r="I22" s="4" t="s">
        <v>125</v>
      </c>
      <c r="J22" s="4" t="s">
        <v>29</v>
      </c>
      <c r="K22" s="4"/>
      <c r="L22" s="4"/>
      <c r="M22" s="4"/>
      <c r="N22" s="4"/>
      <c r="O22" s="4"/>
      <c r="P22" s="4"/>
      <c r="Q22" s="4"/>
      <c r="R22" s="4"/>
      <c r="S22" s="4"/>
      <c r="T22" s="4"/>
    </row>
    <row r="23" customFormat="false" ht="15" hidden="false" customHeight="false" outlineLevel="0" collapsed="false">
      <c r="A23" s="4" t="n">
        <v>19</v>
      </c>
      <c r="B23" s="4" t="s">
        <v>126</v>
      </c>
      <c r="C23" s="4" t="s">
        <v>127</v>
      </c>
      <c r="D23" s="4" t="s">
        <v>63</v>
      </c>
      <c r="E23" s="4" t="s">
        <v>45</v>
      </c>
      <c r="F23" s="4" t="s">
        <v>46</v>
      </c>
      <c r="G23" s="4" t="s">
        <v>27</v>
      </c>
      <c r="H23" s="4" t="s">
        <v>28</v>
      </c>
      <c r="I23" s="4" t="s">
        <v>128</v>
      </c>
      <c r="J23" s="4" t="s">
        <v>29</v>
      </c>
      <c r="K23" s="4"/>
      <c r="L23" s="4"/>
      <c r="M23" s="4"/>
      <c r="N23" s="4"/>
      <c r="O23" s="4"/>
      <c r="P23" s="4"/>
      <c r="Q23" s="4"/>
      <c r="R23" s="4"/>
      <c r="S23" s="4"/>
      <c r="T23" s="4"/>
    </row>
    <row r="24" customFormat="false" ht="15" hidden="false" customHeight="false" outlineLevel="0" collapsed="false">
      <c r="A24" s="4" t="n">
        <v>20</v>
      </c>
      <c r="B24" s="4" t="s">
        <v>22</v>
      </c>
      <c r="C24" s="4" t="s">
        <v>23</v>
      </c>
      <c r="D24" s="4" t="s">
        <v>24</v>
      </c>
      <c r="E24" s="4" t="s">
        <v>25</v>
      </c>
      <c r="F24" s="4" t="s">
        <v>26</v>
      </c>
      <c r="G24" s="4" t="s">
        <v>27</v>
      </c>
      <c r="H24" s="4" t="s">
        <v>28</v>
      </c>
      <c r="I24" s="5" t="n">
        <v>4500</v>
      </c>
      <c r="J24" s="4" t="s">
        <v>29</v>
      </c>
      <c r="K24" s="4"/>
      <c r="L24" s="4"/>
      <c r="M24" s="4"/>
      <c r="N24" s="4" t="s">
        <v>30</v>
      </c>
      <c r="O24" s="4"/>
      <c r="P24" s="4"/>
      <c r="Q24" s="4"/>
      <c r="R24" s="4"/>
      <c r="S24" s="4"/>
      <c r="T24" s="4"/>
    </row>
    <row r="25" customFormat="false" ht="15" hidden="false" customHeight="false" outlineLevel="0" collapsed="false">
      <c r="A25" s="4" t="n">
        <v>21</v>
      </c>
      <c r="B25" s="4" t="s">
        <v>129</v>
      </c>
      <c r="C25" s="4" t="s">
        <v>130</v>
      </c>
      <c r="D25" s="4" t="s">
        <v>76</v>
      </c>
      <c r="E25" s="4" t="s">
        <v>131</v>
      </c>
      <c r="F25" s="4" t="s">
        <v>132</v>
      </c>
      <c r="G25" s="4" t="s">
        <v>27</v>
      </c>
      <c r="H25" s="4" t="s">
        <v>133</v>
      </c>
      <c r="I25" s="5" t="n">
        <v>1500</v>
      </c>
      <c r="J25" s="4" t="s">
        <v>29</v>
      </c>
      <c r="K25" s="4"/>
      <c r="L25" s="4"/>
      <c r="M25" s="4"/>
      <c r="N25" s="4"/>
      <c r="O25" s="4"/>
      <c r="P25" s="4"/>
      <c r="Q25" s="4" t="s">
        <v>134</v>
      </c>
      <c r="R25" s="4" t="s">
        <v>135</v>
      </c>
      <c r="S25" s="4" t="s">
        <v>136</v>
      </c>
      <c r="T25" s="4"/>
    </row>
    <row r="26" customFormat="false" ht="15" hidden="false" customHeight="false" outlineLevel="0" collapsed="false">
      <c r="A26" s="4" t="n">
        <v>22</v>
      </c>
      <c r="B26" s="4" t="s">
        <v>137</v>
      </c>
      <c r="C26" s="4" t="s">
        <v>138</v>
      </c>
      <c r="D26" s="4" t="s">
        <v>53</v>
      </c>
      <c r="E26" s="4" t="s">
        <v>139</v>
      </c>
      <c r="F26" s="4" t="s">
        <v>107</v>
      </c>
      <c r="G26" s="4" t="s">
        <v>140</v>
      </c>
      <c r="H26" s="4" t="s">
        <v>141</v>
      </c>
      <c r="I26" s="5" t="n">
        <v>600</v>
      </c>
      <c r="J26" s="4" t="s">
        <v>29</v>
      </c>
      <c r="K26" s="4"/>
      <c r="L26" s="4"/>
      <c r="M26" s="4"/>
      <c r="N26" s="4"/>
      <c r="O26" s="4"/>
      <c r="P26" s="4"/>
      <c r="Q26" s="4"/>
      <c r="R26" s="4"/>
      <c r="S26" s="4"/>
      <c r="T26" s="4"/>
    </row>
    <row r="27" customFormat="false" ht="15" hidden="false" customHeight="false" outlineLevel="0" collapsed="false">
      <c r="A27" s="4" t="n">
        <v>23</v>
      </c>
      <c r="B27" s="4" t="s">
        <v>142</v>
      </c>
      <c r="C27" s="4" t="s">
        <v>143</v>
      </c>
      <c r="D27" s="4" t="s">
        <v>33</v>
      </c>
      <c r="E27" s="4" t="s">
        <v>144</v>
      </c>
      <c r="F27" s="4" t="s">
        <v>145</v>
      </c>
      <c r="G27" s="4" t="s">
        <v>140</v>
      </c>
      <c r="H27" s="4" t="s">
        <v>146</v>
      </c>
      <c r="I27" s="5" t="n">
        <v>90</v>
      </c>
      <c r="J27" s="4" t="s">
        <v>29</v>
      </c>
      <c r="K27" s="4"/>
      <c r="L27" s="4"/>
      <c r="M27" s="4"/>
      <c r="N27" s="4"/>
      <c r="O27" s="4"/>
      <c r="P27" s="4"/>
      <c r="Q27" s="4"/>
      <c r="R27" s="4"/>
      <c r="S27" s="4"/>
      <c r="T27" s="4" t="s">
        <v>147</v>
      </c>
    </row>
    <row r="28" customFormat="false" ht="15" hidden="false" customHeight="false" outlineLevel="0" collapsed="false">
      <c r="A28" s="4" t="n">
        <v>24</v>
      </c>
      <c r="B28" s="4" t="s">
        <v>148</v>
      </c>
      <c r="C28" s="4" t="s">
        <v>149</v>
      </c>
      <c r="D28" s="4" t="s">
        <v>53</v>
      </c>
      <c r="E28" s="4" t="s">
        <v>150</v>
      </c>
      <c r="F28" s="4" t="s">
        <v>151</v>
      </c>
      <c r="G28" s="4" t="s">
        <v>152</v>
      </c>
      <c r="H28" s="4" t="s">
        <v>153</v>
      </c>
      <c r="I28" s="5" t="n">
        <v>25000</v>
      </c>
      <c r="J28" s="4" t="s">
        <v>29</v>
      </c>
      <c r="K28" s="6" t="n">
        <v>46296</v>
      </c>
      <c r="L28" s="6" t="n">
        <v>46418</v>
      </c>
      <c r="M28" s="4"/>
      <c r="N28" s="4"/>
      <c r="O28" s="4"/>
      <c r="P28" s="4"/>
      <c r="Q28" s="4"/>
      <c r="R28" s="4"/>
      <c r="S28" s="4"/>
      <c r="T28" s="4"/>
    </row>
    <row r="29" customFormat="false" ht="15" hidden="false" customHeight="false" outlineLevel="0" collapsed="false">
      <c r="A29" s="4" t="n">
        <v>25</v>
      </c>
      <c r="B29" s="4" t="s">
        <v>154</v>
      </c>
      <c r="C29" s="4" t="s">
        <v>155</v>
      </c>
      <c r="D29" s="4" t="s">
        <v>94</v>
      </c>
      <c r="E29" s="4" t="s">
        <v>156</v>
      </c>
      <c r="F29" s="4" t="s">
        <v>157</v>
      </c>
      <c r="G29" s="4" t="s">
        <v>27</v>
      </c>
      <c r="H29" s="4" t="s">
        <v>114</v>
      </c>
      <c r="I29" s="5" t="n">
        <v>40</v>
      </c>
      <c r="J29" s="4" t="s">
        <v>29</v>
      </c>
      <c r="K29" s="4" t="s">
        <v>158</v>
      </c>
      <c r="L29" s="4"/>
      <c r="M29" s="4"/>
      <c r="N29" s="4"/>
      <c r="O29" s="4"/>
      <c r="P29" s="4"/>
      <c r="Q29" s="4"/>
      <c r="R29" s="4"/>
      <c r="S29" s="4"/>
      <c r="T29" s="4"/>
    </row>
    <row r="30" customFormat="false" ht="15" hidden="false" customHeight="false" outlineLevel="0" collapsed="false">
      <c r="A30" s="4" t="n">
        <v>26</v>
      </c>
      <c r="B30" s="4" t="s">
        <v>159</v>
      </c>
      <c r="C30" s="4" t="s">
        <v>160</v>
      </c>
      <c r="D30" s="4" t="s">
        <v>161</v>
      </c>
      <c r="E30" s="4" t="s">
        <v>162</v>
      </c>
      <c r="F30" s="4" t="s">
        <v>163</v>
      </c>
      <c r="G30" s="4" t="s">
        <v>27</v>
      </c>
      <c r="H30" s="4" t="s">
        <v>79</v>
      </c>
      <c r="I30" s="5" t="n">
        <v>500</v>
      </c>
      <c r="J30" s="4" t="s">
        <v>29</v>
      </c>
      <c r="K30" s="4" t="s">
        <v>164</v>
      </c>
      <c r="L30" s="4"/>
      <c r="M30" s="4"/>
      <c r="N30" s="4"/>
      <c r="O30" s="4"/>
      <c r="P30" s="4"/>
      <c r="Q30" s="4"/>
      <c r="R30" s="4"/>
      <c r="S30" s="4"/>
      <c r="T30" s="4"/>
    </row>
    <row r="31" customFormat="false" ht="15" hidden="false" customHeight="false" outlineLevel="0" collapsed="false">
      <c r="A31" s="4" t="n">
        <v>27</v>
      </c>
      <c r="B31" s="4" t="s">
        <v>165</v>
      </c>
      <c r="C31" s="4" t="s">
        <v>166</v>
      </c>
      <c r="D31" s="4" t="s">
        <v>167</v>
      </c>
      <c r="E31" s="4" t="s">
        <v>168</v>
      </c>
      <c r="F31" s="4" t="s">
        <v>169</v>
      </c>
      <c r="G31" s="4" t="s">
        <v>27</v>
      </c>
      <c r="H31" s="4" t="s">
        <v>170</v>
      </c>
      <c r="I31" s="5" t="n">
        <v>200</v>
      </c>
      <c r="J31" s="4" t="s">
        <v>29</v>
      </c>
      <c r="K31" s="6" t="n">
        <v>46341</v>
      </c>
      <c r="L31" s="4"/>
      <c r="M31" s="4"/>
      <c r="N31" s="4"/>
      <c r="O31" s="4"/>
      <c r="P31" s="4"/>
      <c r="Q31" s="4"/>
      <c r="R31" s="4"/>
      <c r="S31" s="4"/>
      <c r="T31" s="4"/>
    </row>
    <row r="32" customFormat="false" ht="15" hidden="false" customHeight="false" outlineLevel="0" collapsed="false">
      <c r="A32" s="4" t="n">
        <v>28</v>
      </c>
      <c r="B32" s="4" t="s">
        <v>171</v>
      </c>
      <c r="C32" s="4" t="s">
        <v>172</v>
      </c>
      <c r="D32" s="4" t="s">
        <v>63</v>
      </c>
      <c r="E32" s="4" t="s">
        <v>173</v>
      </c>
      <c r="F32" s="4" t="s">
        <v>174</v>
      </c>
      <c r="G32" s="4" t="s">
        <v>59</v>
      </c>
      <c r="H32" s="4" t="s">
        <v>175</v>
      </c>
      <c r="I32" s="5" t="n">
        <v>3000</v>
      </c>
      <c r="J32" s="4" t="s">
        <v>29</v>
      </c>
      <c r="K32" s="4"/>
      <c r="L32" s="4"/>
      <c r="M32" s="4" t="n">
        <v>85</v>
      </c>
      <c r="N32" s="4" t="s">
        <v>176</v>
      </c>
      <c r="O32" s="6" t="n">
        <v>46280</v>
      </c>
      <c r="P32" s="6" t="n">
        <v>46387</v>
      </c>
      <c r="Q32" s="4"/>
      <c r="R32" s="4"/>
      <c r="S32" s="4"/>
      <c r="T32" s="4"/>
    </row>
    <row r="33" customFormat="false" ht="15" hidden="false" customHeight="false" outlineLevel="0" collapsed="false">
      <c r="A33" s="4" t="n">
        <v>29</v>
      </c>
      <c r="B33" s="4" t="s">
        <v>177</v>
      </c>
      <c r="C33" s="4" t="s">
        <v>178</v>
      </c>
      <c r="D33" s="4" t="s">
        <v>94</v>
      </c>
      <c r="E33" s="4" t="s">
        <v>179</v>
      </c>
      <c r="F33" s="4" t="s">
        <v>180</v>
      </c>
      <c r="G33" s="4" t="s">
        <v>49</v>
      </c>
      <c r="H33" s="4" t="s">
        <v>181</v>
      </c>
      <c r="I33" s="5" t="n">
        <v>700</v>
      </c>
      <c r="J33" s="4" t="s">
        <v>29</v>
      </c>
      <c r="K33" s="4"/>
      <c r="L33" s="4"/>
      <c r="M33" s="4" t="n">
        <v>-15</v>
      </c>
      <c r="N33" s="4" t="s">
        <v>30</v>
      </c>
      <c r="O33" s="4"/>
      <c r="P33" s="4"/>
      <c r="Q33" s="4"/>
      <c r="R33" s="4"/>
      <c r="S33" s="4"/>
      <c r="T33" s="4"/>
    </row>
    <row r="34" customFormat="false" ht="15" hidden="false" customHeight="false" outlineLevel="0" collapsed="false">
      <c r="A34" s="4" t="n">
        <v>30</v>
      </c>
      <c r="B34" s="4" t="s">
        <v>182</v>
      </c>
      <c r="C34" s="4" t="s">
        <v>183</v>
      </c>
      <c r="D34" s="4" t="s">
        <v>76</v>
      </c>
      <c r="E34" s="4" t="s">
        <v>122</v>
      </c>
      <c r="F34" s="4" t="s">
        <v>123</v>
      </c>
      <c r="G34" s="4" t="s">
        <v>27</v>
      </c>
      <c r="H34" s="4" t="s">
        <v>108</v>
      </c>
      <c r="I34" s="5" t="n">
        <v>300</v>
      </c>
      <c r="J34" s="4" t="s">
        <v>29</v>
      </c>
      <c r="K34" s="4"/>
      <c r="L34" s="4"/>
      <c r="M34" s="4"/>
      <c r="N34" s="4"/>
      <c r="O34" s="4"/>
      <c r="P34" s="4"/>
      <c r="Q34" s="4"/>
      <c r="R34" s="4"/>
      <c r="S34" s="4"/>
      <c r="T34" s="4"/>
    </row>
    <row r="36" customFormat="false" ht="15" hidden="false" customHeight="false" outlineLevel="0" collapsed="false">
      <c r="A36" s="4" t="n">
        <v>31</v>
      </c>
      <c r="B36" s="4" t="s">
        <v>184</v>
      </c>
      <c r="C36" s="4" t="s">
        <v>43</v>
      </c>
      <c r="D36" s="4" t="s">
        <v>185</v>
      </c>
      <c r="E36" s="4" t="s">
        <v>25</v>
      </c>
      <c r="F36" s="4" t="s">
        <v>26</v>
      </c>
      <c r="G36" s="4" t="s">
        <v>89</v>
      </c>
      <c r="H36" s="4" t="s">
        <v>118</v>
      </c>
      <c r="I36" s="5" t="n">
        <v>8000</v>
      </c>
      <c r="J36" s="4" t="s">
        <v>29</v>
      </c>
      <c r="K36" s="4"/>
      <c r="L36" s="4"/>
      <c r="M36" s="4"/>
      <c r="N36" s="4"/>
      <c r="O36" s="4"/>
      <c r="P36" s="4"/>
      <c r="Q36" s="4"/>
      <c r="R36" s="4"/>
      <c r="S36" s="4"/>
      <c r="T36" s="4"/>
    </row>
    <row r="37" customFormat="false" ht="15" hidden="false" customHeight="false" outlineLevel="0" collapsed="false">
      <c r="A37" s="4" t="n">
        <v>32</v>
      </c>
      <c r="B37" s="4" t="s">
        <v>186</v>
      </c>
      <c r="C37" s="4" t="s">
        <v>43</v>
      </c>
      <c r="D37" s="4" t="s">
        <v>185</v>
      </c>
      <c r="E37" s="4" t="s">
        <v>25</v>
      </c>
      <c r="F37" s="4" t="s">
        <v>26</v>
      </c>
      <c r="G37" s="4" t="s">
        <v>89</v>
      </c>
      <c r="H37" s="4" t="s">
        <v>47</v>
      </c>
      <c r="I37" s="5" t="n">
        <v>2000</v>
      </c>
      <c r="J37" s="4" t="s">
        <v>29</v>
      </c>
      <c r="K37" s="4"/>
      <c r="L37" s="4"/>
      <c r="M37" s="4"/>
      <c r="N37" s="4"/>
      <c r="O37" s="4"/>
      <c r="P37" s="4"/>
      <c r="Q37" s="4"/>
      <c r="R37" s="4"/>
      <c r="S37" s="4"/>
      <c r="T37" s="4"/>
    </row>
    <row r="38" customFormat="false" ht="15" hidden="false" customHeight="false" outlineLevel="0" collapsed="false">
      <c r="A38" s="4" t="n">
        <v>33</v>
      </c>
      <c r="B38" s="4" t="s">
        <v>187</v>
      </c>
      <c r="C38" s="4" t="s">
        <v>188</v>
      </c>
      <c r="D38" s="4" t="s">
        <v>76</v>
      </c>
      <c r="E38" s="4" t="s">
        <v>189</v>
      </c>
      <c r="F38" s="4" t="s">
        <v>190</v>
      </c>
      <c r="G38" s="4" t="s">
        <v>36</v>
      </c>
      <c r="H38" s="4" t="s">
        <v>37</v>
      </c>
      <c r="I38" s="5" t="n">
        <v>9000</v>
      </c>
      <c r="J38" s="4" t="s">
        <v>29</v>
      </c>
      <c r="K38" s="4"/>
      <c r="L38" s="4"/>
      <c r="M38" s="4"/>
      <c r="N38" s="4"/>
      <c r="O38" s="4"/>
      <c r="P38" s="4"/>
      <c r="Q38" s="4"/>
      <c r="R38" s="4"/>
      <c r="S38" s="4"/>
      <c r="T38" s="4"/>
    </row>
    <row r="39" customFormat="false" ht="15" hidden="false" customHeight="false" outlineLevel="0" collapsed="false">
      <c r="A39" s="4" t="n">
        <v>34</v>
      </c>
      <c r="B39" s="4" t="s">
        <v>191</v>
      </c>
      <c r="C39" s="4" t="s">
        <v>192</v>
      </c>
      <c r="D39" s="4" t="s">
        <v>53</v>
      </c>
      <c r="E39" s="4" t="s">
        <v>193</v>
      </c>
      <c r="F39" s="4" t="s">
        <v>194</v>
      </c>
      <c r="G39" s="4" t="s">
        <v>27</v>
      </c>
      <c r="H39" s="4" t="s">
        <v>195</v>
      </c>
      <c r="I39" s="5" t="n">
        <v>1100</v>
      </c>
      <c r="J39" s="4" t="s">
        <v>29</v>
      </c>
      <c r="K39" s="4"/>
      <c r="L39" s="4"/>
      <c r="M39" s="4"/>
      <c r="N39" s="4"/>
      <c r="O39" s="4"/>
      <c r="P39" s="4"/>
      <c r="Q39" s="4"/>
      <c r="R39" s="4"/>
      <c r="S39" s="4"/>
      <c r="T39" s="4"/>
    </row>
    <row r="40" customFormat="false" ht="15" hidden="false" customHeight="false" outlineLevel="0" collapsed="false">
      <c r="A40" s="4" t="n">
        <v>35</v>
      </c>
      <c r="B40" s="4" t="s">
        <v>196</v>
      </c>
      <c r="C40" s="4" t="s">
        <v>197</v>
      </c>
      <c r="D40" s="4" t="s">
        <v>94</v>
      </c>
      <c r="E40" s="4" t="s">
        <v>198</v>
      </c>
      <c r="F40" s="4" t="s">
        <v>199</v>
      </c>
      <c r="G40" s="4" t="s">
        <v>49</v>
      </c>
      <c r="H40" s="4" t="s">
        <v>50</v>
      </c>
      <c r="I40" s="5" t="n">
        <v>2500</v>
      </c>
      <c r="J40" s="4" t="s">
        <v>29</v>
      </c>
      <c r="K40" s="4"/>
      <c r="L40" s="4"/>
      <c r="M40" s="4"/>
      <c r="N40" s="4"/>
      <c r="O40" s="4"/>
      <c r="P40" s="4"/>
      <c r="Q40" s="4"/>
      <c r="R40" s="4"/>
      <c r="S40" s="4"/>
      <c r="T40" s="4"/>
    </row>
    <row r="41" customFormat="false" ht="15" hidden="false" customHeight="false" outlineLevel="0" collapsed="false">
      <c r="A41" s="4" t="n">
        <v>36</v>
      </c>
      <c r="B41" s="4" t="s">
        <v>200</v>
      </c>
      <c r="C41" s="4" t="s">
        <v>192</v>
      </c>
      <c r="D41" s="4" t="s">
        <v>53</v>
      </c>
      <c r="E41" s="4" t="s">
        <v>201</v>
      </c>
      <c r="F41" s="4" t="s">
        <v>202</v>
      </c>
      <c r="G41" s="4" t="s">
        <v>27</v>
      </c>
      <c r="H41" s="4" t="s">
        <v>195</v>
      </c>
      <c r="I41" s="5" t="n">
        <v>1100</v>
      </c>
      <c r="J41" s="4" t="s">
        <v>29</v>
      </c>
      <c r="K41" s="4"/>
      <c r="L41" s="4"/>
      <c r="M41" s="4"/>
      <c r="N41" s="4"/>
      <c r="O41" s="4"/>
      <c r="P41" s="4"/>
      <c r="Q41" s="4"/>
      <c r="R41" s="4"/>
      <c r="S41" s="4"/>
      <c r="T41" s="4"/>
    </row>
    <row r="42" customFormat="false" ht="15" hidden="false" customHeight="false" outlineLevel="0" collapsed="false">
      <c r="B42" s="7" t="s">
        <v>203</v>
      </c>
      <c r="I42" s="8" t="n">
        <f aca="false">SUM(I5:I41)</f>
        <v>175010</v>
      </c>
    </row>
    <row r="44" customFormat="false" ht="15" hidden="false" customHeight="false" outlineLevel="0" collapsed="false">
      <c r="A44" s="2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7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5" hidden="false" customHeight="false" outlineLevel="0" collapsed="false">
      <c r="A1" s="9" t="s">
        <v>205</v>
      </c>
      <c r="B1" s="9" t="s">
        <v>4</v>
      </c>
      <c r="C1" s="9" t="s">
        <v>2</v>
      </c>
      <c r="D1" s="9" t="s">
        <v>6</v>
      </c>
      <c r="E1" s="9" t="s">
        <v>7</v>
      </c>
      <c r="F1" s="9" t="s">
        <v>8</v>
      </c>
      <c r="G1" s="9" t="s">
        <v>206</v>
      </c>
      <c r="H1" s="9" t="s">
        <v>207</v>
      </c>
      <c r="I1" s="9" t="s">
        <v>11</v>
      </c>
      <c r="J1" s="9" t="s">
        <v>208</v>
      </c>
      <c r="K1" s="9" t="s">
        <v>209</v>
      </c>
      <c r="L1" s="9" t="s">
        <v>21</v>
      </c>
    </row>
    <row r="2" customFormat="false" ht="15" hidden="false" customHeight="false" outlineLevel="0" collapsed="false">
      <c r="A2" s="4" t="s">
        <v>210</v>
      </c>
      <c r="B2" s="4" t="s">
        <v>211</v>
      </c>
      <c r="C2" s="4" t="s">
        <v>56</v>
      </c>
      <c r="D2" s="4" t="s">
        <v>212</v>
      </c>
      <c r="E2" s="4" t="s">
        <v>213</v>
      </c>
      <c r="F2" s="4" t="s">
        <v>214</v>
      </c>
      <c r="G2" s="4" t="s">
        <v>215</v>
      </c>
      <c r="H2" s="4" t="n">
        <v>12000</v>
      </c>
      <c r="I2" s="4" t="s">
        <v>216</v>
      </c>
      <c r="J2" s="6" t="n">
        <v>46388</v>
      </c>
      <c r="K2" s="4"/>
      <c r="L2" s="4"/>
    </row>
    <row r="3" customFormat="false" ht="15" hidden="false" customHeight="false" outlineLevel="0" collapsed="false">
      <c r="A3" s="4" t="s">
        <v>217</v>
      </c>
      <c r="B3" s="4" t="s">
        <v>218</v>
      </c>
      <c r="C3" s="4" t="s">
        <v>94</v>
      </c>
      <c r="D3" s="4" t="s">
        <v>219</v>
      </c>
      <c r="E3" s="4" t="s">
        <v>220</v>
      </c>
      <c r="F3" s="4" t="s">
        <v>27</v>
      </c>
      <c r="G3" s="4" t="s">
        <v>221</v>
      </c>
      <c r="H3" s="4" t="n">
        <v>800</v>
      </c>
      <c r="I3" s="4" t="s">
        <v>29</v>
      </c>
      <c r="J3" s="4"/>
      <c r="K3" s="4"/>
      <c r="L3" s="4"/>
    </row>
    <row r="4" customFormat="false" ht="15" hidden="false" customHeight="false" outlineLevel="0" collapsed="false">
      <c r="A4" s="4" t="s">
        <v>222</v>
      </c>
      <c r="B4" s="4" t="s">
        <v>223</v>
      </c>
      <c r="C4" s="4" t="s">
        <v>224</v>
      </c>
      <c r="D4" s="4" t="s">
        <v>144</v>
      </c>
      <c r="E4" s="4" t="s">
        <v>145</v>
      </c>
      <c r="F4" s="4" t="s">
        <v>225</v>
      </c>
      <c r="G4" s="4" t="s">
        <v>226</v>
      </c>
      <c r="H4" s="4" t="n">
        <v>50</v>
      </c>
      <c r="I4" s="4" t="s">
        <v>29</v>
      </c>
      <c r="J4" s="4"/>
      <c r="K4" s="4"/>
      <c r="L4" s="4"/>
    </row>
    <row r="5" customFormat="false" ht="15" hidden="false" customHeight="false" outlineLevel="0" collapsed="false">
      <c r="A5" s="4" t="s">
        <v>42</v>
      </c>
      <c r="B5" s="4" t="s">
        <v>43</v>
      </c>
      <c r="C5" s="4" t="s">
        <v>44</v>
      </c>
      <c r="D5" s="4" t="s">
        <v>45</v>
      </c>
      <c r="E5" s="4" t="s">
        <v>46</v>
      </c>
      <c r="F5" s="4" t="s">
        <v>36</v>
      </c>
      <c r="G5" s="4" t="s">
        <v>215</v>
      </c>
      <c r="H5" s="4" t="n">
        <v>5000</v>
      </c>
      <c r="I5" s="4" t="s">
        <v>216</v>
      </c>
      <c r="J5" s="4"/>
      <c r="K5" s="4"/>
      <c r="L5" s="4"/>
    </row>
    <row r="6" customFormat="false" ht="15" hidden="false" customHeight="false" outlineLevel="0" collapsed="false">
      <c r="A6" s="4" t="s">
        <v>137</v>
      </c>
      <c r="B6" s="4" t="s">
        <v>138</v>
      </c>
      <c r="C6" s="4" t="s">
        <v>53</v>
      </c>
      <c r="D6" s="4" t="s">
        <v>139</v>
      </c>
      <c r="E6" s="4" t="s">
        <v>107</v>
      </c>
      <c r="F6" s="4" t="s">
        <v>140</v>
      </c>
      <c r="G6" s="4" t="s">
        <v>221</v>
      </c>
      <c r="H6" s="4" t="n">
        <v>120</v>
      </c>
      <c r="I6" s="4" t="s">
        <v>29</v>
      </c>
      <c r="J6" s="4"/>
      <c r="K6" s="4" t="s">
        <v>227</v>
      </c>
      <c r="L6" s="4"/>
    </row>
    <row r="7" customFormat="false" ht="15" hidden="false" customHeight="false" outlineLevel="0" collapsed="false">
      <c r="A7" s="4" t="s">
        <v>228</v>
      </c>
      <c r="B7" s="4" t="s">
        <v>229</v>
      </c>
      <c r="C7" s="4" t="s">
        <v>63</v>
      </c>
      <c r="D7" s="4" t="s">
        <v>106</v>
      </c>
      <c r="E7" s="4" t="s">
        <v>230</v>
      </c>
      <c r="F7" s="4" t="s">
        <v>231</v>
      </c>
      <c r="G7" s="4" t="s">
        <v>226</v>
      </c>
      <c r="H7" s="4" t="n">
        <v>30000</v>
      </c>
      <c r="I7" s="4" t="s">
        <v>86</v>
      </c>
      <c r="J7" s="4"/>
      <c r="K7" s="4"/>
      <c r="L7" s="4"/>
    </row>
    <row r="8" customFormat="false" ht="15" hidden="false" customHeight="false" outlineLevel="0" collapsed="false">
      <c r="A8" s="4" t="s">
        <v>232</v>
      </c>
      <c r="B8" s="4" t="s">
        <v>233</v>
      </c>
      <c r="C8" s="4" t="s">
        <v>83</v>
      </c>
      <c r="D8" s="4" t="s">
        <v>106</v>
      </c>
      <c r="E8" s="4" t="s">
        <v>230</v>
      </c>
      <c r="F8" s="4" t="s">
        <v>225</v>
      </c>
      <c r="G8" s="4" t="s">
        <v>234</v>
      </c>
      <c r="H8" s="4" t="n">
        <v>900</v>
      </c>
      <c r="I8" s="4" t="s">
        <v>216</v>
      </c>
      <c r="J8" s="4"/>
      <c r="K8" s="4"/>
      <c r="L8" s="4"/>
    </row>
    <row r="9" customFormat="false" ht="15" hidden="false" customHeight="false" outlineLevel="0" collapsed="false">
      <c r="A9" s="4" t="s">
        <v>235</v>
      </c>
      <c r="B9" s="4" t="s">
        <v>236</v>
      </c>
      <c r="C9" s="4" t="s">
        <v>53</v>
      </c>
      <c r="D9" s="4" t="s">
        <v>34</v>
      </c>
      <c r="E9" s="4" t="s">
        <v>35</v>
      </c>
      <c r="F9" s="4" t="s">
        <v>36</v>
      </c>
      <c r="G9" s="4" t="s">
        <v>215</v>
      </c>
      <c r="H9" s="4" t="n">
        <v>20</v>
      </c>
      <c r="I9" s="4" t="s">
        <v>237</v>
      </c>
      <c r="J9" s="4"/>
      <c r="K9" s="4"/>
      <c r="L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</cols>
  <sheetData>
    <row r="1" customFormat="false" ht="15" hidden="false" customHeight="false" outlineLevel="0" collapsed="false">
      <c r="A1" s="7" t="s">
        <v>238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239</v>
      </c>
    </row>
    <row r="4" customFormat="false" ht="15" hidden="false" customHeight="false" outlineLevel="0" collapsed="false">
      <c r="A4" s="4" t="s">
        <v>240</v>
      </c>
    </row>
    <row r="5" customFormat="false" ht="15" hidden="false" customHeight="false" outlineLevel="0" collapsed="false">
      <c r="A5" s="4" t="s">
        <v>241</v>
      </c>
    </row>
    <row r="6" customFormat="false" ht="15" hidden="false" customHeight="false" outlineLevel="0" collapsed="false">
      <c r="A6" s="4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48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10" t="s">
        <v>243</v>
      </c>
      <c r="B1" s="10" t="s">
        <v>244</v>
      </c>
      <c r="C1" s="10" t="s">
        <v>245</v>
      </c>
      <c r="D1" s="10" t="s">
        <v>246</v>
      </c>
    </row>
    <row r="2" customFormat="false" ht="15" hidden="false" customHeight="false" outlineLevel="0" collapsed="false">
      <c r="A2" s="11" t="s">
        <v>247</v>
      </c>
      <c r="B2" s="11" t="n">
        <v>1</v>
      </c>
      <c r="C2" s="11" t="s">
        <v>248</v>
      </c>
      <c r="D2" s="11" t="s">
        <v>249</v>
      </c>
    </row>
    <row r="3" customFormat="false" ht="15" hidden="false" customHeight="false" outlineLevel="0" collapsed="false">
      <c r="A3" s="11" t="s">
        <v>247</v>
      </c>
      <c r="B3" s="11" t="n">
        <v>5</v>
      </c>
      <c r="C3" s="11" t="s">
        <v>250</v>
      </c>
      <c r="D3" s="11" t="s">
        <v>251</v>
      </c>
    </row>
    <row r="4" customFormat="false" ht="15" hidden="false" customHeight="false" outlineLevel="0" collapsed="false">
      <c r="A4" s="11" t="s">
        <v>247</v>
      </c>
      <c r="B4" s="11" t="n">
        <v>6</v>
      </c>
      <c r="C4" s="11" t="s">
        <v>252</v>
      </c>
      <c r="D4" s="11" t="s">
        <v>253</v>
      </c>
    </row>
    <row r="5" customFormat="false" ht="15" hidden="false" customHeight="false" outlineLevel="0" collapsed="false">
      <c r="A5" s="11" t="s">
        <v>247</v>
      </c>
      <c r="B5" s="11" t="n">
        <v>7</v>
      </c>
      <c r="C5" s="11" t="s">
        <v>254</v>
      </c>
      <c r="D5" s="11" t="s">
        <v>255</v>
      </c>
    </row>
    <row r="6" customFormat="false" ht="15" hidden="false" customHeight="false" outlineLevel="0" collapsed="false">
      <c r="A6" s="11" t="s">
        <v>247</v>
      </c>
      <c r="B6" s="11" t="n">
        <v>8</v>
      </c>
      <c r="C6" s="11" t="s">
        <v>256</v>
      </c>
      <c r="D6" s="11" t="s">
        <v>257</v>
      </c>
    </row>
    <row r="7" customFormat="false" ht="23.85" hidden="false" customHeight="false" outlineLevel="0" collapsed="false">
      <c r="A7" s="11" t="s">
        <v>247</v>
      </c>
      <c r="B7" s="11" t="n">
        <v>9</v>
      </c>
      <c r="C7" s="11" t="s">
        <v>258</v>
      </c>
      <c r="D7" s="11" t="s">
        <v>259</v>
      </c>
    </row>
    <row r="8" customFormat="false" ht="15" hidden="false" customHeight="false" outlineLevel="0" collapsed="false">
      <c r="A8" s="11" t="s">
        <v>247</v>
      </c>
      <c r="B8" s="11" t="n">
        <v>10</v>
      </c>
      <c r="C8" s="11" t="s">
        <v>260</v>
      </c>
      <c r="D8" s="11" t="s">
        <v>261</v>
      </c>
    </row>
    <row r="9" customFormat="false" ht="23.85" hidden="false" customHeight="false" outlineLevel="0" collapsed="false">
      <c r="A9" s="11" t="s">
        <v>247</v>
      </c>
      <c r="B9" s="11" t="n">
        <v>11</v>
      </c>
      <c r="C9" s="11" t="s">
        <v>262</v>
      </c>
      <c r="D9" s="11" t="s">
        <v>263</v>
      </c>
    </row>
    <row r="10" customFormat="false" ht="15" hidden="false" customHeight="false" outlineLevel="0" collapsed="false">
      <c r="A10" s="11" t="s">
        <v>247</v>
      </c>
      <c r="B10" s="11" t="n">
        <v>12</v>
      </c>
      <c r="C10" s="11" t="s">
        <v>264</v>
      </c>
      <c r="D10" s="11" t="s">
        <v>265</v>
      </c>
    </row>
    <row r="11" customFormat="false" ht="15" hidden="false" customHeight="false" outlineLevel="0" collapsed="false">
      <c r="A11" s="11" t="s">
        <v>247</v>
      </c>
      <c r="B11" s="11" t="n">
        <v>13</v>
      </c>
      <c r="C11" s="11" t="s">
        <v>266</v>
      </c>
      <c r="D11" s="11" t="s">
        <v>267</v>
      </c>
    </row>
    <row r="12" customFormat="false" ht="15" hidden="false" customHeight="false" outlineLevel="0" collapsed="false">
      <c r="A12" s="11" t="s">
        <v>247</v>
      </c>
      <c r="B12" s="11" t="n">
        <v>14</v>
      </c>
      <c r="C12" s="11" t="s">
        <v>268</v>
      </c>
      <c r="D12" s="11" t="s">
        <v>269</v>
      </c>
    </row>
    <row r="13" customFormat="false" ht="15" hidden="false" customHeight="false" outlineLevel="0" collapsed="false">
      <c r="A13" s="11" t="s">
        <v>247</v>
      </c>
      <c r="B13" s="11" t="n">
        <v>15</v>
      </c>
      <c r="C13" s="11" t="s">
        <v>270</v>
      </c>
      <c r="D13" s="11" t="s">
        <v>271</v>
      </c>
    </row>
    <row r="14" customFormat="false" ht="15" hidden="false" customHeight="false" outlineLevel="0" collapsed="false">
      <c r="A14" s="11" t="s">
        <v>247</v>
      </c>
      <c r="B14" s="11" t="n">
        <v>16</v>
      </c>
      <c r="C14" s="11" t="s">
        <v>272</v>
      </c>
      <c r="D14" s="11" t="s">
        <v>273</v>
      </c>
    </row>
    <row r="15" customFormat="false" ht="15" hidden="false" customHeight="false" outlineLevel="0" collapsed="false">
      <c r="A15" s="11" t="s">
        <v>247</v>
      </c>
      <c r="B15" s="11" t="n">
        <v>17</v>
      </c>
      <c r="C15" s="11" t="s">
        <v>274</v>
      </c>
      <c r="D15" s="11" t="s">
        <v>275</v>
      </c>
    </row>
    <row r="16" customFormat="false" ht="15" hidden="false" customHeight="false" outlineLevel="0" collapsed="false">
      <c r="A16" s="11" t="s">
        <v>247</v>
      </c>
      <c r="B16" s="11" t="n">
        <v>18</v>
      </c>
      <c r="C16" s="11" t="s">
        <v>276</v>
      </c>
      <c r="D16" s="11" t="s">
        <v>277</v>
      </c>
    </row>
    <row r="17" customFormat="false" ht="15" hidden="false" customHeight="false" outlineLevel="0" collapsed="false">
      <c r="A17" s="11" t="s">
        <v>247</v>
      </c>
      <c r="B17" s="11" t="n">
        <v>19</v>
      </c>
      <c r="C17" s="11" t="s">
        <v>278</v>
      </c>
      <c r="D17" s="11" t="s">
        <v>279</v>
      </c>
    </row>
    <row r="18" customFormat="false" ht="15" hidden="false" customHeight="false" outlineLevel="0" collapsed="false">
      <c r="A18" s="11" t="s">
        <v>247</v>
      </c>
      <c r="B18" s="11" t="n">
        <v>20</v>
      </c>
      <c r="C18" s="11" t="s">
        <v>280</v>
      </c>
      <c r="D18" s="11" t="s">
        <v>281</v>
      </c>
    </row>
    <row r="19" customFormat="false" ht="23.85" hidden="false" customHeight="false" outlineLevel="0" collapsed="false">
      <c r="A19" s="11" t="s">
        <v>247</v>
      </c>
      <c r="B19" s="11" t="n">
        <v>21</v>
      </c>
      <c r="C19" s="11" t="s">
        <v>282</v>
      </c>
      <c r="D19" s="11" t="s">
        <v>283</v>
      </c>
    </row>
    <row r="20" customFormat="false" ht="15" hidden="false" customHeight="false" outlineLevel="0" collapsed="false">
      <c r="A20" s="11" t="s">
        <v>247</v>
      </c>
      <c r="B20" s="11" t="n">
        <v>22</v>
      </c>
      <c r="C20" s="11" t="s">
        <v>284</v>
      </c>
      <c r="D20" s="11" t="s">
        <v>285</v>
      </c>
    </row>
    <row r="21" customFormat="false" ht="15" hidden="false" customHeight="false" outlineLevel="0" collapsed="false">
      <c r="A21" s="11" t="s">
        <v>247</v>
      </c>
      <c r="B21" s="11" t="n">
        <v>23</v>
      </c>
      <c r="C21" s="11" t="s">
        <v>286</v>
      </c>
      <c r="D21" s="11" t="s">
        <v>287</v>
      </c>
    </row>
    <row r="22" customFormat="false" ht="23.85" hidden="false" customHeight="false" outlineLevel="0" collapsed="false">
      <c r="A22" s="11" t="s">
        <v>247</v>
      </c>
      <c r="B22" s="11" t="n">
        <v>24</v>
      </c>
      <c r="C22" s="11" t="s">
        <v>288</v>
      </c>
      <c r="D22" s="11" t="s">
        <v>289</v>
      </c>
    </row>
    <row r="23" customFormat="false" ht="23.85" hidden="false" customHeight="false" outlineLevel="0" collapsed="false">
      <c r="A23" s="11" t="s">
        <v>247</v>
      </c>
      <c r="B23" s="11" t="n">
        <v>25</v>
      </c>
      <c r="C23" s="11" t="s">
        <v>290</v>
      </c>
      <c r="D23" s="11" t="s">
        <v>291</v>
      </c>
    </row>
    <row r="24" customFormat="false" ht="15" hidden="false" customHeight="false" outlineLevel="0" collapsed="false">
      <c r="A24" s="11" t="s">
        <v>247</v>
      </c>
      <c r="B24" s="11" t="n">
        <v>26</v>
      </c>
      <c r="C24" s="11" t="s">
        <v>292</v>
      </c>
      <c r="D24" s="11" t="s">
        <v>293</v>
      </c>
    </row>
    <row r="25" customFormat="false" ht="23.85" hidden="false" customHeight="false" outlineLevel="0" collapsed="false">
      <c r="A25" s="11" t="s">
        <v>247</v>
      </c>
      <c r="B25" s="11" t="n">
        <v>27</v>
      </c>
      <c r="C25" s="11" t="s">
        <v>294</v>
      </c>
      <c r="D25" s="11" t="s">
        <v>295</v>
      </c>
    </row>
    <row r="26" customFormat="false" ht="15" hidden="false" customHeight="false" outlineLevel="0" collapsed="false">
      <c r="A26" s="11" t="s">
        <v>247</v>
      </c>
      <c r="B26" s="11" t="n">
        <v>28</v>
      </c>
      <c r="C26" s="11" t="s">
        <v>296</v>
      </c>
      <c r="D26" s="11" t="s">
        <v>297</v>
      </c>
    </row>
    <row r="27" customFormat="false" ht="15" hidden="false" customHeight="false" outlineLevel="0" collapsed="false">
      <c r="A27" s="11" t="s">
        <v>247</v>
      </c>
      <c r="B27" s="11" t="n">
        <v>29</v>
      </c>
      <c r="C27" s="11" t="s">
        <v>298</v>
      </c>
      <c r="D27" s="11" t="s">
        <v>299</v>
      </c>
    </row>
    <row r="28" customFormat="false" ht="15" hidden="false" customHeight="false" outlineLevel="0" collapsed="false">
      <c r="A28" s="11" t="s">
        <v>247</v>
      </c>
      <c r="B28" s="11" t="n">
        <v>30</v>
      </c>
      <c r="C28" s="11" t="s">
        <v>300</v>
      </c>
      <c r="D28" s="11" t="s">
        <v>301</v>
      </c>
    </row>
    <row r="29" customFormat="false" ht="15" hidden="false" customHeight="false" outlineLevel="0" collapsed="false">
      <c r="A29" s="11" t="s">
        <v>247</v>
      </c>
      <c r="B29" s="11" t="n">
        <v>31</v>
      </c>
      <c r="C29" s="11" t="s">
        <v>302</v>
      </c>
      <c r="D29" s="11" t="s">
        <v>257</v>
      </c>
    </row>
    <row r="30" customFormat="false" ht="23.85" hidden="false" customHeight="false" outlineLevel="0" collapsed="false">
      <c r="A30" s="11" t="s">
        <v>247</v>
      </c>
      <c r="B30" s="11" t="n">
        <v>32</v>
      </c>
      <c r="C30" s="11" t="s">
        <v>303</v>
      </c>
      <c r="D30" s="11" t="s">
        <v>304</v>
      </c>
    </row>
    <row r="31" customFormat="false" ht="15" hidden="false" customHeight="false" outlineLevel="0" collapsed="false">
      <c r="A31" s="11" t="s">
        <v>247</v>
      </c>
      <c r="B31" s="11" t="n">
        <v>33</v>
      </c>
      <c r="C31" s="11" t="s">
        <v>305</v>
      </c>
      <c r="D31" s="11" t="s">
        <v>306</v>
      </c>
    </row>
    <row r="32" customFormat="false" ht="15" hidden="false" customHeight="false" outlineLevel="0" collapsed="false">
      <c r="A32" s="11" t="s">
        <v>247</v>
      </c>
      <c r="B32" s="11" t="n">
        <v>34</v>
      </c>
      <c r="C32" s="11" t="s">
        <v>307</v>
      </c>
      <c r="D32" s="11" t="s">
        <v>308</v>
      </c>
    </row>
    <row r="33" customFormat="false" ht="15" hidden="false" customHeight="false" outlineLevel="0" collapsed="false">
      <c r="A33" s="11" t="s">
        <v>247</v>
      </c>
      <c r="B33" s="11" t="n">
        <v>35</v>
      </c>
      <c r="C33" s="11" t="s">
        <v>309</v>
      </c>
      <c r="D33" s="11" t="s">
        <v>310</v>
      </c>
    </row>
    <row r="34" customFormat="false" ht="15" hidden="false" customHeight="false" outlineLevel="0" collapsed="false">
      <c r="A34" s="11" t="s">
        <v>247</v>
      </c>
      <c r="B34" s="11" t="n">
        <v>36</v>
      </c>
      <c r="C34" s="11" t="s">
        <v>311</v>
      </c>
      <c r="D34" s="11" t="s">
        <v>257</v>
      </c>
    </row>
    <row r="35" customFormat="false" ht="15" hidden="false" customHeight="false" outlineLevel="0" collapsed="false">
      <c r="A35" s="11" t="s">
        <v>247</v>
      </c>
      <c r="B35" s="11" t="n">
        <v>37</v>
      </c>
      <c r="C35" s="11" t="s">
        <v>312</v>
      </c>
      <c r="D35" s="11" t="s">
        <v>313</v>
      </c>
    </row>
    <row r="36" customFormat="false" ht="15" hidden="false" customHeight="false" outlineLevel="0" collapsed="false">
      <c r="A36" s="11" t="s">
        <v>247</v>
      </c>
      <c r="B36" s="11" t="n">
        <v>38</v>
      </c>
      <c r="C36" s="11" t="s">
        <v>314</v>
      </c>
      <c r="D36" s="11" t="s">
        <v>315</v>
      </c>
    </row>
    <row r="37" customFormat="false" ht="23.85" hidden="false" customHeight="false" outlineLevel="0" collapsed="false">
      <c r="A37" s="11" t="s">
        <v>247</v>
      </c>
      <c r="B37" s="11" t="n">
        <v>39</v>
      </c>
      <c r="C37" s="11" t="s">
        <v>316</v>
      </c>
      <c r="D37" s="11" t="s">
        <v>317</v>
      </c>
    </row>
    <row r="38" customFormat="false" ht="15" hidden="false" customHeight="false" outlineLevel="0" collapsed="false">
      <c r="A38" s="11" t="s">
        <v>247</v>
      </c>
      <c r="B38" s="11" t="n">
        <v>40</v>
      </c>
      <c r="C38" s="11" t="s">
        <v>250</v>
      </c>
      <c r="D38" s="11" t="s">
        <v>257</v>
      </c>
    </row>
    <row r="39" customFormat="false" ht="15" hidden="false" customHeight="false" outlineLevel="0" collapsed="false">
      <c r="A39" s="11" t="s">
        <v>247</v>
      </c>
      <c r="B39" s="11" t="n">
        <v>41</v>
      </c>
      <c r="C39" s="11" t="s">
        <v>318</v>
      </c>
      <c r="D39" s="11" t="s">
        <v>319</v>
      </c>
    </row>
    <row r="40" customFormat="false" ht="15" hidden="false" customHeight="false" outlineLevel="0" collapsed="false">
      <c r="A40" s="11" t="s">
        <v>247</v>
      </c>
      <c r="B40" s="11" t="n">
        <v>42</v>
      </c>
      <c r="C40" s="11" t="s">
        <v>320</v>
      </c>
      <c r="D40" s="11" t="s">
        <v>321</v>
      </c>
    </row>
    <row r="41" customFormat="false" ht="15" hidden="false" customHeight="false" outlineLevel="0" collapsed="false">
      <c r="A41" s="11" t="s">
        <v>247</v>
      </c>
      <c r="B41" s="11" t="n">
        <v>44</v>
      </c>
      <c r="C41" s="11" t="s">
        <v>322</v>
      </c>
      <c r="D41" s="11" t="s">
        <v>323</v>
      </c>
    </row>
    <row r="42" customFormat="false" ht="15" hidden="false" customHeight="false" outlineLevel="0" collapsed="false">
      <c r="A42" s="11" t="s">
        <v>324</v>
      </c>
      <c r="B42" s="11" t="n">
        <v>2</v>
      </c>
      <c r="C42" s="11" t="s">
        <v>325</v>
      </c>
      <c r="D42" s="11" t="s">
        <v>326</v>
      </c>
    </row>
    <row r="43" customFormat="false" ht="15" hidden="false" customHeight="false" outlineLevel="0" collapsed="false">
      <c r="A43" s="11" t="s">
        <v>324</v>
      </c>
      <c r="B43" s="11" t="n">
        <v>3</v>
      </c>
      <c r="C43" s="11" t="s">
        <v>327</v>
      </c>
      <c r="D43" s="11" t="s">
        <v>257</v>
      </c>
    </row>
    <row r="44" customFormat="false" ht="15" hidden="false" customHeight="false" outlineLevel="0" collapsed="false">
      <c r="A44" s="11" t="s">
        <v>324</v>
      </c>
      <c r="B44" s="11" t="n">
        <v>4</v>
      </c>
      <c r="C44" s="11" t="s">
        <v>328</v>
      </c>
      <c r="D44" s="11" t="s">
        <v>329</v>
      </c>
    </row>
    <row r="45" customFormat="false" ht="15" hidden="false" customHeight="false" outlineLevel="0" collapsed="false">
      <c r="A45" s="11" t="s">
        <v>324</v>
      </c>
      <c r="B45" s="11" t="n">
        <v>5</v>
      </c>
      <c r="C45" s="11" t="s">
        <v>330</v>
      </c>
      <c r="D45" s="11" t="s">
        <v>331</v>
      </c>
    </row>
    <row r="46" customFormat="false" ht="15" hidden="false" customHeight="false" outlineLevel="0" collapsed="false">
      <c r="A46" s="11" t="s">
        <v>324</v>
      </c>
      <c r="B46" s="11" t="n">
        <v>6</v>
      </c>
      <c r="C46" s="11" t="s">
        <v>332</v>
      </c>
      <c r="D46" s="11" t="s">
        <v>333</v>
      </c>
    </row>
    <row r="47" customFormat="false" ht="15" hidden="false" customHeight="false" outlineLevel="0" collapsed="false">
      <c r="A47" s="11" t="s">
        <v>324</v>
      </c>
      <c r="B47" s="11" t="n">
        <v>7</v>
      </c>
      <c r="C47" s="11" t="s">
        <v>270</v>
      </c>
      <c r="D47" s="11" t="s">
        <v>334</v>
      </c>
    </row>
    <row r="48" customFormat="false" ht="15" hidden="false" customHeight="false" outlineLevel="0" collapsed="false">
      <c r="A48" s="11" t="s">
        <v>324</v>
      </c>
      <c r="B48" s="11" t="n">
        <v>8</v>
      </c>
      <c r="C48" s="11" t="s">
        <v>335</v>
      </c>
      <c r="D48" s="11" t="s">
        <v>336</v>
      </c>
    </row>
    <row r="49" customFormat="false" ht="15" hidden="false" customHeight="false" outlineLevel="0" collapsed="false">
      <c r="A49" s="11" t="s">
        <v>324</v>
      </c>
      <c r="B49" s="11" t="n">
        <v>9</v>
      </c>
      <c r="C49" s="11" t="s">
        <v>337</v>
      </c>
      <c r="D49" s="11" t="s">
        <v>338</v>
      </c>
    </row>
    <row r="50" customFormat="false" ht="15" hidden="false" customHeight="false" outlineLevel="0" collapsed="false">
      <c r="A50" s="11" t="s">
        <v>339</v>
      </c>
      <c r="B50" s="11" t="n">
        <v>1</v>
      </c>
      <c r="C50" s="11" t="s">
        <v>340</v>
      </c>
      <c r="D50" s="11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2026-10-06T21:50:49Z</dcterms:created>
  <dc:creator>openpyxl</dc:creator>
  <dc:description/>
  <dc:language>en-US</dc:language>
  <cp:lastModifiedBy/>
  <dcterms:modified xsi:type="dcterms:W3CDTF">2026-10-06T21:50:49Z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